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02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veevasys.sharepoint.com/sites/EuropeanBusinessConsulting/Shared Documents/1. Strategy &amp; Planning/Pricing Model/"/>
    </mc:Choice>
  </mc:AlternateContent>
  <xr:revisionPtr revIDLastSave="188" documentId="8_{B287A6C5-9D54-1B44-A34A-9FA000CA0226}" xr6:coauthVersionLast="47" xr6:coauthVersionMax="47" xr10:uidLastSave="{DFB47139-602D-4C7F-9F78-E459DFAA12D3}"/>
  <bookViews>
    <workbookView xWindow="31220" yWindow="1780" windowWidth="27960" windowHeight="18940" xr2:uid="{68747052-D597-4C45-BCF0-7FD7AF8B31C4}"/>
  </bookViews>
  <sheets>
    <sheet name="OUTPUT - Pricing model" sheetId="1" r:id="rId1"/>
    <sheet name="INPUT - Weekly Breakdown" sheetId="2" r:id="rId2"/>
    <sheet name="Rates" sheetId="5" r:id="rId3"/>
    <sheet name="Rates v2 (do not delete)" sheetId="6" state="hidden" r:id="rId4"/>
    <sheet name="mapping" sheetId="3" state="hidden" r:id="rId5"/>
  </sheets>
  <definedNames>
    <definedName name="level">Rates!$B$5:$B$11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" i="1" l="1"/>
  <c r="F9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I10" i="1"/>
  <c r="F5" i="2"/>
  <c r="D38" i="1" l="1"/>
  <c r="X10" i="1"/>
  <c r="U10" i="1"/>
  <c r="S10" i="1"/>
  <c r="R10" i="1"/>
  <c r="N10" i="1"/>
  <c r="L10" i="1"/>
  <c r="F10" i="1"/>
  <c r="E10" i="1"/>
  <c r="C24" i="5"/>
  <c r="I21" i="5" s="1"/>
  <c r="F22" i="5"/>
  <c r="C21" i="5"/>
  <c r="H20" i="5"/>
  <c r="F19" i="5"/>
  <c r="E19" i="5"/>
  <c r="C19" i="5"/>
  <c r="H18" i="5"/>
  <c r="C18" i="5"/>
  <c r="I17" i="5"/>
  <c r="E17" i="5"/>
  <c r="D17" i="5"/>
  <c r="C17" i="5"/>
  <c r="I16" i="5"/>
  <c r="H16" i="5"/>
  <c r="G16" i="5"/>
  <c r="F16" i="5"/>
  <c r="E16" i="5"/>
  <c r="D16" i="5"/>
  <c r="C16" i="5"/>
  <c r="I34" i="5"/>
  <c r="H34" i="5"/>
  <c r="G34" i="5"/>
  <c r="F34" i="5"/>
  <c r="I33" i="5"/>
  <c r="H33" i="5"/>
  <c r="G33" i="5"/>
  <c r="F33" i="5"/>
  <c r="I32" i="5"/>
  <c r="H32" i="5"/>
  <c r="G32" i="5"/>
  <c r="F32" i="5"/>
  <c r="I31" i="5"/>
  <c r="H31" i="5"/>
  <c r="G31" i="5"/>
  <c r="F31" i="5"/>
  <c r="I30" i="5"/>
  <c r="H30" i="5"/>
  <c r="G30" i="5"/>
  <c r="F30" i="5"/>
  <c r="I29" i="5"/>
  <c r="H29" i="5"/>
  <c r="G29" i="5"/>
  <c r="F29" i="5"/>
  <c r="I28" i="5"/>
  <c r="H28" i="5"/>
  <c r="G28" i="5"/>
  <c r="F28" i="5"/>
  <c r="C33" i="1"/>
  <c r="D33" i="1" s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11" i="1"/>
  <c r="F9" i="2"/>
  <c r="D18" i="5" l="1"/>
  <c r="G19" i="5"/>
  <c r="E18" i="5"/>
  <c r="I19" i="5"/>
  <c r="F18" i="5"/>
  <c r="D20" i="5"/>
  <c r="G17" i="5"/>
  <c r="D19" i="5"/>
  <c r="E22" i="5"/>
  <c r="I20" i="5"/>
  <c r="D21" i="5"/>
  <c r="C22" i="5"/>
  <c r="G22" i="5"/>
  <c r="F17" i="5"/>
  <c r="G18" i="5"/>
  <c r="H19" i="5"/>
  <c r="E21" i="5"/>
  <c r="H17" i="5"/>
  <c r="I18" i="5"/>
  <c r="C20" i="5"/>
  <c r="D22" i="5"/>
  <c r="E20" i="5"/>
  <c r="F21" i="5"/>
  <c r="H22" i="5"/>
  <c r="F20" i="5"/>
  <c r="G21" i="5"/>
  <c r="I22" i="5"/>
  <c r="G20" i="5"/>
  <c r="H21" i="5"/>
  <c r="C47" i="5"/>
  <c r="B17" i="5"/>
  <c r="B18" i="5"/>
  <c r="B19" i="5"/>
  <c r="B20" i="5"/>
  <c r="B21" i="5"/>
  <c r="B22" i="5"/>
  <c r="B16" i="5"/>
  <c r="B8" i="6" l="1"/>
  <c r="B28" i="5"/>
  <c r="B13" i="6"/>
  <c r="B33" i="5"/>
  <c r="B12" i="6"/>
  <c r="B32" i="5"/>
  <c r="B14" i="6"/>
  <c r="B34" i="5"/>
  <c r="B11" i="6"/>
  <c r="B31" i="5"/>
  <c r="B10" i="6"/>
  <c r="B30" i="5"/>
  <c r="B9" i="6"/>
  <c r="B29" i="5"/>
  <c r="B20" i="1"/>
  <c r="F20" i="1" s="1"/>
  <c r="G20" i="1" s="1"/>
  <c r="B21" i="1"/>
  <c r="F21" i="1" s="1"/>
  <c r="G21" i="1" s="1"/>
  <c r="B22" i="1"/>
  <c r="F22" i="1" s="1"/>
  <c r="G22" i="1" s="1"/>
  <c r="B23" i="1"/>
  <c r="F23" i="1" s="1"/>
  <c r="G23" i="1" s="1"/>
  <c r="B24" i="1"/>
  <c r="F24" i="1" s="1"/>
  <c r="G24" i="1" s="1"/>
  <c r="B25" i="1"/>
  <c r="F25" i="1" s="1"/>
  <c r="G25" i="1" s="1"/>
  <c r="B26" i="1"/>
  <c r="F26" i="1" s="1"/>
  <c r="G26" i="1" s="1"/>
  <c r="B27" i="1"/>
  <c r="F27" i="1" s="1"/>
  <c r="G27" i="1" s="1"/>
  <c r="B28" i="1"/>
  <c r="F28" i="1" s="1"/>
  <c r="G28" i="1" s="1"/>
  <c r="B29" i="1"/>
  <c r="F29" i="1" s="1"/>
  <c r="G29" i="1" s="1"/>
  <c r="R23" i="2"/>
  <c r="D23" i="2" s="1"/>
  <c r="R24" i="2"/>
  <c r="D24" i="2" s="1"/>
  <c r="R25" i="2"/>
  <c r="D25" i="2" s="1"/>
  <c r="R26" i="2"/>
  <c r="D26" i="2" s="1"/>
  <c r="R27" i="2"/>
  <c r="D27" i="2" s="1"/>
  <c r="R28" i="2"/>
  <c r="D28" i="2" s="1"/>
  <c r="R18" i="2"/>
  <c r="R19" i="2"/>
  <c r="P25" i="1" l="1"/>
  <c r="U25" i="1"/>
  <c r="R25" i="1"/>
  <c r="N25" i="1"/>
  <c r="X25" i="1" s="1"/>
  <c r="O25" i="1"/>
  <c r="N21" i="1"/>
  <c r="X21" i="1" s="1"/>
  <c r="R21" i="1"/>
  <c r="O21" i="1"/>
  <c r="P21" i="1"/>
  <c r="U21" i="1"/>
  <c r="U24" i="1"/>
  <c r="P24" i="1"/>
  <c r="N24" i="1"/>
  <c r="X24" i="1" s="1"/>
  <c r="R24" i="1"/>
  <c r="O24" i="1"/>
  <c r="N20" i="1"/>
  <c r="X20" i="1" s="1"/>
  <c r="R20" i="1"/>
  <c r="O20" i="1"/>
  <c r="P20" i="1"/>
  <c r="U20" i="1"/>
  <c r="U23" i="1"/>
  <c r="N23" i="1"/>
  <c r="X23" i="1" s="1"/>
  <c r="R23" i="1"/>
  <c r="O23" i="1"/>
  <c r="P23" i="1"/>
  <c r="N29" i="1"/>
  <c r="X29" i="1" s="1"/>
  <c r="R29" i="1"/>
  <c r="O29" i="1"/>
  <c r="P29" i="1"/>
  <c r="U29" i="1"/>
  <c r="N28" i="1"/>
  <c r="X28" i="1" s="1"/>
  <c r="R28" i="1"/>
  <c r="O28" i="1"/>
  <c r="P28" i="1"/>
  <c r="U28" i="1"/>
  <c r="N27" i="1"/>
  <c r="X27" i="1" s="1"/>
  <c r="R27" i="1"/>
  <c r="O27" i="1"/>
  <c r="P27" i="1"/>
  <c r="U27" i="1"/>
  <c r="R26" i="1"/>
  <c r="O26" i="1"/>
  <c r="P26" i="1"/>
  <c r="U26" i="1"/>
  <c r="N26" i="1"/>
  <c r="X26" i="1" s="1"/>
  <c r="U22" i="1"/>
  <c r="N22" i="1"/>
  <c r="X22" i="1" s="1"/>
  <c r="R22" i="1"/>
  <c r="O22" i="1"/>
  <c r="P22" i="1"/>
  <c r="E25" i="1"/>
  <c r="E24" i="1"/>
  <c r="E27" i="1"/>
  <c r="E23" i="1"/>
  <c r="E22" i="1"/>
  <c r="E26" i="1"/>
  <c r="E21" i="1"/>
  <c r="E29" i="1"/>
  <c r="E28" i="1"/>
  <c r="E20" i="1"/>
  <c r="S24" i="1"/>
  <c r="S22" i="1"/>
  <c r="S21" i="1"/>
  <c r="S20" i="1"/>
  <c r="S27" i="1"/>
  <c r="S25" i="1"/>
  <c r="S23" i="1"/>
  <c r="S29" i="1"/>
  <c r="S28" i="1"/>
  <c r="S26" i="1"/>
  <c r="K25" i="1"/>
  <c r="K24" i="1"/>
  <c r="K27" i="1"/>
  <c r="K23" i="1"/>
  <c r="K26" i="1"/>
  <c r="K22" i="1"/>
  <c r="K21" i="1"/>
  <c r="K29" i="1"/>
  <c r="K28" i="1"/>
  <c r="K20" i="1"/>
  <c r="H24" i="1"/>
  <c r="H25" i="1"/>
  <c r="H23" i="1"/>
  <c r="H22" i="1"/>
  <c r="H26" i="1"/>
  <c r="H29" i="1"/>
  <c r="H21" i="1"/>
  <c r="H27" i="1"/>
  <c r="H28" i="1"/>
  <c r="H20" i="1"/>
  <c r="L25" i="1"/>
  <c r="L28" i="1"/>
  <c r="L24" i="1"/>
  <c r="L20" i="1"/>
  <c r="L23" i="1"/>
  <c r="L27" i="1"/>
  <c r="L22" i="1"/>
  <c r="L26" i="1"/>
  <c r="L29" i="1"/>
  <c r="L21" i="1"/>
  <c r="V29" i="1"/>
  <c r="V28" i="1"/>
  <c r="V27" i="1"/>
  <c r="V26" i="1"/>
  <c r="V25" i="1"/>
  <c r="V24" i="1"/>
  <c r="V23" i="1"/>
  <c r="V22" i="1"/>
  <c r="V21" i="1"/>
  <c r="V20" i="1"/>
  <c r="B15" i="1"/>
  <c r="F15" i="1" s="1"/>
  <c r="G15" i="1" s="1"/>
  <c r="Y22" i="1" l="1"/>
  <c r="Z22" i="1" s="1"/>
  <c r="Y20" i="1"/>
  <c r="Z20" i="1" s="1"/>
  <c r="Y29" i="1"/>
  <c r="Z29" i="1" s="1"/>
  <c r="Y21" i="1"/>
  <c r="Z21" i="1" s="1"/>
  <c r="Y28" i="1"/>
  <c r="Z28" i="1" s="1"/>
  <c r="Y26" i="1"/>
  <c r="Z26" i="1" s="1"/>
  <c r="Y27" i="1"/>
  <c r="Z27" i="1" s="1"/>
  <c r="Y23" i="1"/>
  <c r="Z23" i="1" s="1"/>
  <c r="Y24" i="1"/>
  <c r="Z24" i="1" s="1"/>
  <c r="U15" i="1"/>
  <c r="N15" i="1"/>
  <c r="X15" i="1" s="1"/>
  <c r="R15" i="1"/>
  <c r="O15" i="1"/>
  <c r="P15" i="1"/>
  <c r="E15" i="1"/>
  <c r="S15" i="1"/>
  <c r="K15" i="1"/>
  <c r="H15" i="1"/>
  <c r="Y25" i="1"/>
  <c r="Z25" i="1" s="1"/>
  <c r="L15" i="1"/>
  <c r="V15" i="1"/>
  <c r="D18" i="2" l="1"/>
  <c r="D19" i="2"/>
  <c r="B11" i="1"/>
  <c r="B16" i="1"/>
  <c r="B17" i="1"/>
  <c r="B18" i="1"/>
  <c r="F18" i="1" s="1"/>
  <c r="G18" i="1" s="1"/>
  <c r="B19" i="1"/>
  <c r="F19" i="1" s="1"/>
  <c r="G19" i="1" s="1"/>
  <c r="B12" i="1"/>
  <c r="B13" i="1"/>
  <c r="B14" i="1"/>
  <c r="Z11" i="2"/>
  <c r="Z12" i="2"/>
  <c r="Z13" i="2"/>
  <c r="Z14" i="2"/>
  <c r="Z15" i="2"/>
  <c r="Z16" i="2"/>
  <c r="Z17" i="2"/>
  <c r="Z20" i="2"/>
  <c r="Z21" i="2"/>
  <c r="Z22" i="2"/>
  <c r="Z10" i="2"/>
  <c r="R11" i="2"/>
  <c r="R12" i="2"/>
  <c r="R13" i="2"/>
  <c r="R14" i="2"/>
  <c r="R15" i="2"/>
  <c r="R16" i="2"/>
  <c r="R17" i="2"/>
  <c r="R20" i="2"/>
  <c r="R21" i="2"/>
  <c r="R22" i="2"/>
  <c r="R10" i="2"/>
  <c r="D10" i="2" s="1"/>
  <c r="R13" i="1" l="1"/>
  <c r="R12" i="1"/>
  <c r="R11" i="1"/>
  <c r="F11" i="1"/>
  <c r="G11" i="1" s="1"/>
  <c r="R14" i="1"/>
  <c r="R17" i="1"/>
  <c r="R18" i="1"/>
  <c r="O18" i="1"/>
  <c r="P18" i="1"/>
  <c r="U18" i="1"/>
  <c r="N18" i="1"/>
  <c r="X18" i="1" s="1"/>
  <c r="R16" i="1"/>
  <c r="N19" i="1"/>
  <c r="X19" i="1" s="1"/>
  <c r="R19" i="1"/>
  <c r="O19" i="1"/>
  <c r="P19" i="1"/>
  <c r="U19" i="1"/>
  <c r="E12" i="1"/>
  <c r="J12" i="1" s="1"/>
  <c r="E19" i="1"/>
  <c r="E16" i="1"/>
  <c r="E18" i="1"/>
  <c r="E11" i="1"/>
  <c r="J11" i="1" s="1"/>
  <c r="E14" i="1"/>
  <c r="J14" i="1" s="1"/>
  <c r="E17" i="1"/>
  <c r="E13" i="1"/>
  <c r="J13" i="1" s="1"/>
  <c r="S19" i="1"/>
  <c r="S18" i="1"/>
  <c r="K18" i="1"/>
  <c r="K19" i="1"/>
  <c r="H19" i="1"/>
  <c r="H18" i="1"/>
  <c r="L18" i="1"/>
  <c r="L19" i="1"/>
  <c r="V19" i="1"/>
  <c r="V18" i="1"/>
  <c r="D20" i="2"/>
  <c r="D21" i="2"/>
  <c r="D14" i="2"/>
  <c r="D22" i="2"/>
  <c r="D11" i="2"/>
  <c r="F12" i="1" s="1"/>
  <c r="G12" i="1" s="1"/>
  <c r="Y15" i="1"/>
  <c r="D17" i="2"/>
  <c r="D13" i="2"/>
  <c r="F14" i="1" s="1"/>
  <c r="G14" i="1" s="1"/>
  <c r="D16" i="2"/>
  <c r="F17" i="1" s="1"/>
  <c r="G17" i="1" s="1"/>
  <c r="D12" i="2"/>
  <c r="F13" i="1" s="1"/>
  <c r="G13" i="1" s="1"/>
  <c r="D15" i="2"/>
  <c r="F16" i="1" s="1"/>
  <c r="G16" i="1" s="1"/>
  <c r="H16" i="1" l="1"/>
  <c r="H17" i="1"/>
  <c r="J17" i="1"/>
  <c r="J16" i="1"/>
  <c r="G30" i="1"/>
  <c r="Y18" i="1"/>
  <c r="Z18" i="1" s="1"/>
  <c r="Y19" i="1"/>
  <c r="Z19" i="1" s="1"/>
  <c r="H11" i="1"/>
  <c r="K11" i="1" s="1"/>
  <c r="H13" i="1"/>
  <c r="H12" i="1"/>
  <c r="H14" i="1"/>
  <c r="F30" i="1"/>
  <c r="I30" i="1"/>
  <c r="K17" i="1" l="1"/>
  <c r="K16" i="1"/>
  <c r="K14" i="1"/>
  <c r="K12" i="1"/>
  <c r="K13" i="1"/>
  <c r="J30" i="1"/>
  <c r="K30" i="1" l="1"/>
  <c r="H30" i="1"/>
  <c r="C46" i="1" l="1"/>
  <c r="L16" i="1" l="1"/>
  <c r="S16" i="1" s="1"/>
  <c r="L17" i="1"/>
  <c r="L12" i="1"/>
  <c r="N12" i="1" s="1"/>
  <c r="X12" i="1" s="1"/>
  <c r="L13" i="1"/>
  <c r="N13" i="1" s="1"/>
  <c r="X13" i="1" s="1"/>
  <c r="L14" i="1"/>
  <c r="N14" i="1" s="1"/>
  <c r="X14" i="1" s="1"/>
  <c r="L11" i="1"/>
  <c r="N11" i="1" s="1"/>
  <c r="X11" i="1" s="1"/>
  <c r="N16" i="1" l="1"/>
  <c r="O16" i="1" s="1"/>
  <c r="S17" i="1"/>
  <c r="N17" i="1"/>
  <c r="O13" i="1"/>
  <c r="U13" i="1" s="1"/>
  <c r="P13" i="1"/>
  <c r="O12" i="1"/>
  <c r="P12" i="1"/>
  <c r="O11" i="1"/>
  <c r="P11" i="1"/>
  <c r="O14" i="1"/>
  <c r="P14" i="1"/>
  <c r="S11" i="1"/>
  <c r="S14" i="1"/>
  <c r="S13" i="1"/>
  <c r="S12" i="1"/>
  <c r="Z15" i="1"/>
  <c r="X16" i="1" l="1"/>
  <c r="Y16" i="1" s="1"/>
  <c r="U16" i="1"/>
  <c r="V16" i="1" s="1"/>
  <c r="P16" i="1"/>
  <c r="X17" i="1"/>
  <c r="Y17" i="1" s="1"/>
  <c r="P17" i="1"/>
  <c r="U17" i="1"/>
  <c r="V17" i="1" s="1"/>
  <c r="O17" i="1"/>
  <c r="Y13" i="1"/>
  <c r="Z13" i="1" s="1"/>
  <c r="U14" i="1"/>
  <c r="V14" i="1" s="1"/>
  <c r="Y11" i="1"/>
  <c r="Z11" i="1" s="1"/>
  <c r="U11" i="1"/>
  <c r="V11" i="1" s="1"/>
  <c r="Y12" i="1"/>
  <c r="Z12" i="1" s="1"/>
  <c r="U12" i="1"/>
  <c r="V12" i="1" s="1"/>
  <c r="Y14" i="1"/>
  <c r="Z14" i="1" s="1"/>
  <c r="V13" i="1"/>
  <c r="Z16" i="1" l="1"/>
  <c r="Z17" i="1"/>
  <c r="Y30" i="1"/>
  <c r="X30" i="1"/>
  <c r="V30" i="1"/>
  <c r="P30" i="1"/>
  <c r="C34" i="1" s="1"/>
  <c r="C36" i="1" l="1"/>
  <c r="C39" i="1"/>
  <c r="C40" i="1" s="1"/>
  <c r="C35" i="1"/>
  <c r="D36" i="1"/>
  <c r="D39" i="1" s="1"/>
  <c r="D40" i="1" s="1"/>
  <c r="D34" i="1" l="1"/>
  <c r="D35" i="1" s="1"/>
  <c r="G9" i="2"/>
  <c r="H9" i="2" s="1"/>
  <c r="I9" i="2" s="1"/>
  <c r="J9" i="2" s="1"/>
  <c r="K9" i="2" s="1"/>
  <c r="L9" i="2" s="1"/>
  <c r="M9" i="2" s="1"/>
  <c r="N9" i="2" s="1"/>
  <c r="O9" i="2" s="1"/>
  <c r="P9" i="2" s="1"/>
  <c r="Q9" i="2" s="1"/>
  <c r="T9" i="2" s="1"/>
  <c r="U9" i="2" s="1"/>
  <c r="V9" i="2" s="1"/>
  <c r="W9" i="2" s="1"/>
  <c r="X9" i="2" s="1"/>
  <c r="Y9" i="2" s="1"/>
</calcChain>
</file>

<file path=xl/sharedStrings.xml><?xml version="1.0" encoding="utf-8"?>
<sst xmlns="http://schemas.openxmlformats.org/spreadsheetml/2006/main" count="144" uniqueCount="87">
  <si>
    <t>Business Consulting Pricing Model</t>
  </si>
  <si>
    <t>Input fields</t>
  </si>
  <si>
    <t>Lynx Input</t>
  </si>
  <si>
    <t>Customer</t>
  </si>
  <si>
    <t>Leo GTM</t>
  </si>
  <si>
    <t>Project name</t>
  </si>
  <si>
    <t>Test</t>
  </si>
  <si>
    <t>Project Currency</t>
  </si>
  <si>
    <t>£</t>
  </si>
  <si>
    <t>Type of pricing</t>
  </si>
  <si>
    <t>Day</t>
  </si>
  <si>
    <t>Hours per day assumption</t>
  </si>
  <si>
    <t>Level</t>
  </si>
  <si>
    <t>Name</t>
  </si>
  <si>
    <t>Staffing Currency</t>
  </si>
  <si>
    <t>Total Hours</t>
  </si>
  <si>
    <t>Total Fee before Investment</t>
  </si>
  <si>
    <t>Total Investment</t>
  </si>
  <si>
    <t>Revised Fee</t>
  </si>
  <si>
    <t>Contingency</t>
  </si>
  <si>
    <t>Total Hourly Rate (Local) w/ Contingency</t>
  </si>
  <si>
    <t>Final Fee</t>
  </si>
  <si>
    <t>Total billable hours bonus</t>
  </si>
  <si>
    <t>Total Cost</t>
  </si>
  <si>
    <t>Margin</t>
  </si>
  <si>
    <t>€</t>
  </si>
  <si>
    <t>Total</t>
  </si>
  <si>
    <t>KEY METRICS</t>
  </si>
  <si>
    <t>Local</t>
  </si>
  <si>
    <t>USD</t>
  </si>
  <si>
    <t>Rate per hour - target</t>
  </si>
  <si>
    <t>Rate per hour - actual</t>
  </si>
  <si>
    <t>Difference</t>
  </si>
  <si>
    <t>Profit/(Loss)</t>
  </si>
  <si>
    <t>Target Margin</t>
  </si>
  <si>
    <t>Project Margin</t>
  </si>
  <si>
    <t>Key Assumptions</t>
  </si>
  <si>
    <t>Hours per day</t>
  </si>
  <si>
    <t>Target rate per hour $</t>
  </si>
  <si>
    <t>% share of billable hour bonus</t>
  </si>
  <si>
    <t>Investment %</t>
  </si>
  <si>
    <t>Start date</t>
  </si>
  <si>
    <t>Phase 1</t>
  </si>
  <si>
    <t>Phase 2</t>
  </si>
  <si>
    <t>Role</t>
  </si>
  <si>
    <t>Total Days</t>
  </si>
  <si>
    <t>BC - Principal</t>
  </si>
  <si>
    <t>Staff 1</t>
  </si>
  <si>
    <t>BC - Senior Consultant</t>
  </si>
  <si>
    <t>Staff 2</t>
  </si>
  <si>
    <t>BC - Consultant</t>
  </si>
  <si>
    <t>Staff 3</t>
  </si>
  <si>
    <t>Services - Architect</t>
  </si>
  <si>
    <t>Notes</t>
  </si>
  <si>
    <t>Add / delete columns accordingly based on number of weeks / phases. Ensure column D adds up.</t>
  </si>
  <si>
    <t>If you add additional lines for team members ensure you update on the Output sheet too</t>
  </si>
  <si>
    <t>Agreed rates</t>
  </si>
  <si>
    <t>Agreed rates per hour USD</t>
  </si>
  <si>
    <t>BC - Leader</t>
  </si>
  <si>
    <t>BC - Associate</t>
  </si>
  <si>
    <t>Services - Consultant</t>
  </si>
  <si>
    <t>Targeted Rate Per Day</t>
  </si>
  <si>
    <t>GBP</t>
  </si>
  <si>
    <t>EUR</t>
  </si>
  <si>
    <t>SGD</t>
  </si>
  <si>
    <t>JPY</t>
  </si>
  <si>
    <t>CAD</t>
  </si>
  <si>
    <t>AUD</t>
  </si>
  <si>
    <t>Targeted Rate Per Hour</t>
  </si>
  <si>
    <t>Exchange rates to USD</t>
  </si>
  <si>
    <t>$:X</t>
  </si>
  <si>
    <t>X:$</t>
  </si>
  <si>
    <t>Vlookup ref</t>
  </si>
  <si>
    <t>$</t>
  </si>
  <si>
    <t>S$</t>
  </si>
  <si>
    <t>¥</t>
  </si>
  <si>
    <t>C$</t>
  </si>
  <si>
    <t>A$</t>
  </si>
  <si>
    <t>Vlookup column reference</t>
  </si>
  <si>
    <t>Total Cost Per Hour</t>
  </si>
  <si>
    <t>Region</t>
  </si>
  <si>
    <t>Currency</t>
  </si>
  <si>
    <t>Europe</t>
  </si>
  <si>
    <t>Euro</t>
  </si>
  <si>
    <t>APAC</t>
  </si>
  <si>
    <t>United States</t>
  </si>
  <si>
    <t>Canada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</si>
</sst>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* #,##0.00_);_(* \(#,##0.00\);_(* &quot;-&quot;??_);_(@_)"/>
    <numFmt numFmtId="165" formatCode="_(&quot;$&quot;* #,##0.00_);_(&quot;$&quot;* \(#,##0.00\);_(&quot;$&quot;* &quot;-&quot;??_);_(@_)"/>
    <numFmt numFmtId="166" formatCode="[$$-409]#,##0"/>
    <numFmt numFmtId="167" formatCode="&quot;£&quot;#,##0"/>
    <numFmt numFmtId="168" formatCode="_([$$-409]* #,##0_);_([$$-409]* \(#,##0\);_([$$-409]* &quot;-&quot;??_);_(@_)"/>
    <numFmt numFmtId="169" formatCode="_-[$£-809]* #,##0.00_-;\-[$£-809]* #,##0.00_-;_-[$£-809]* &quot;-&quot;??_-;_-@_-"/>
    <numFmt numFmtId="170" formatCode="[$$-409]#,##0_);\([$$-409]#,##0\)"/>
    <numFmt numFmtId="171" formatCode="_([$€-2]\ * #,##0.00_);_([$€-2]\ * \(#,##0.00\);_([$€-2]\ * &quot;-&quot;??_);_(@_)"/>
    <numFmt numFmtId="172" formatCode="_-[$¥-411]* #,##0.00_-;\-[$¥-411]* #,##0.00_-;_-[$¥-411]* &quot;-&quot;??_-;_-@_-"/>
    <numFmt numFmtId="173" formatCode="_(&quot;$&quot;* #,##0_);_(&quot;$&quot;* \(#,##0\);_(&quot;$&quot;* &quot;-&quot;??_);_(@_)"/>
    <numFmt numFmtId="174" formatCode="0.0%"/>
    <numFmt numFmtId="175" formatCode="0.00000%"/>
    <numFmt numFmtId="176" formatCode="_(&quot;$&quot;* #,##0.0_);_(&quot;$&quot;* \(#,##0.0\);_(&quot;$&quot;* &quot;-&quot;??_);_(@_)"/>
  </numFmts>
  <fonts count="1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64656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Arial"/>
      <family val="2"/>
    </font>
    <font>
      <sz val="11"/>
      <color rgb="FF646569"/>
      <name val="Calibri"/>
      <family val="2"/>
      <scheme val="minor"/>
    </font>
    <font>
      <b/>
      <sz val="11"/>
      <color rgb="FF000000"/>
      <name val="Arial"/>
      <family val="2"/>
    </font>
    <font>
      <u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b/>
      <u val="double"/>
      <sz val="12"/>
      <color theme="1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5" tint="0.399975585192419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rgb="FFFF9E16"/>
      </top>
      <bottom style="medium">
        <color rgb="FFFF9E16"/>
      </bottom>
      <diagonal/>
    </border>
    <border>
      <left/>
      <right/>
      <top/>
      <bottom style="dashed">
        <color rgb="FFD9D9D9"/>
      </bottom>
      <diagonal/>
    </border>
    <border>
      <left/>
      <right/>
      <top style="dashed">
        <color rgb="FFD9D9D9"/>
      </top>
      <bottom style="dashed">
        <color rgb="FFD9D9D9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13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/>
    <xf numFmtId="0" fontId="3" fillId="0" borderId="0" xfId="0" applyFont="1"/>
    <xf numFmtId="0" fontId="0" fillId="2" borderId="0" xfId="0" applyFill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6" fillId="0" borderId="0" xfId="0" applyFont="1"/>
    <xf numFmtId="0" fontId="7" fillId="6" borderId="5" xfId="0" applyFont="1" applyFill="1" applyBorder="1" applyAlignment="1">
      <alignment horizontal="center" vertical="center" wrapText="1" readingOrder="1"/>
    </xf>
    <xf numFmtId="16" fontId="7" fillId="6" borderId="5" xfId="0" applyNumberFormat="1" applyFont="1" applyFill="1" applyBorder="1" applyAlignment="1">
      <alignment horizontal="center" vertical="center" wrapText="1" readingOrder="1"/>
    </xf>
    <xf numFmtId="0" fontId="8" fillId="6" borderId="6" xfId="0" applyFont="1" applyFill="1" applyBorder="1" applyAlignment="1">
      <alignment horizontal="center" vertical="center" wrapText="1" readingOrder="1"/>
    </xf>
    <xf numFmtId="0" fontId="7" fillId="6" borderId="5" xfId="0" applyFont="1" applyFill="1" applyBorder="1" applyAlignment="1">
      <alignment horizontal="center" vertical="center" readingOrder="1"/>
    </xf>
    <xf numFmtId="14" fontId="0" fillId="2" borderId="0" xfId="0" applyNumberFormat="1" applyFill="1" applyAlignment="1">
      <alignment horizontal="center" vertical="center"/>
    </xf>
    <xf numFmtId="0" fontId="5" fillId="0" borderId="0" xfId="0" applyFont="1"/>
    <xf numFmtId="168" fontId="0" fillId="2" borderId="1" xfId="0" applyNumberFormat="1" applyFill="1" applyBorder="1"/>
    <xf numFmtId="168" fontId="0" fillId="2" borderId="2" xfId="0" applyNumberFormat="1" applyFill="1" applyBorder="1"/>
    <xf numFmtId="168" fontId="0" fillId="2" borderId="3" xfId="0" applyNumberFormat="1" applyFill="1" applyBorder="1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2" borderId="0" xfId="0" applyFill="1"/>
    <xf numFmtId="0" fontId="8" fillId="7" borderId="6" xfId="0" applyFont="1" applyFill="1" applyBorder="1" applyAlignment="1">
      <alignment horizontal="center" vertical="center" wrapText="1" readingOrder="1"/>
    </xf>
    <xf numFmtId="0" fontId="8" fillId="7" borderId="7" xfId="0" applyFont="1" applyFill="1" applyBorder="1" applyAlignment="1">
      <alignment horizontal="center" vertical="center" wrapText="1" readingOrder="1"/>
    </xf>
    <xf numFmtId="0" fontId="7" fillId="6" borderId="0" xfId="0" applyFont="1" applyFill="1" applyAlignment="1">
      <alignment horizontal="center" vertical="center" wrapText="1" readingOrder="1"/>
    </xf>
    <xf numFmtId="16" fontId="10" fillId="6" borderId="5" xfId="0" applyNumberFormat="1" applyFont="1" applyFill="1" applyBorder="1" applyAlignment="1">
      <alignment horizontal="center" vertical="center" wrapText="1" readingOrder="1"/>
    </xf>
    <xf numFmtId="0" fontId="11" fillId="6" borderId="6" xfId="0" applyFont="1" applyFill="1" applyBorder="1" applyAlignment="1">
      <alignment horizontal="center" vertical="center" wrapText="1"/>
    </xf>
    <xf numFmtId="0" fontId="11" fillId="6" borderId="7" xfId="0" applyFont="1" applyFill="1" applyBorder="1" applyAlignment="1">
      <alignment horizontal="center" vertical="center" wrapText="1"/>
    </xf>
    <xf numFmtId="0" fontId="0" fillId="5" borderId="2" xfId="0" applyFill="1" applyBorder="1"/>
    <xf numFmtId="0" fontId="9" fillId="7" borderId="6" xfId="0" applyFont="1" applyFill="1" applyBorder="1" applyAlignment="1">
      <alignment horizontal="center" vertical="center" wrapText="1"/>
    </xf>
    <xf numFmtId="0" fontId="9" fillId="7" borderId="7" xfId="0" applyFont="1" applyFill="1" applyBorder="1" applyAlignment="1">
      <alignment horizontal="center" vertical="center" wrapText="1"/>
    </xf>
    <xf numFmtId="0" fontId="12" fillId="0" borderId="0" xfId="0" applyFont="1"/>
    <xf numFmtId="0" fontId="0" fillId="5" borderId="0" xfId="0" applyFill="1"/>
    <xf numFmtId="0" fontId="4" fillId="5" borderId="0" xfId="0" applyFont="1" applyFill="1"/>
    <xf numFmtId="166" fontId="0" fillId="5" borderId="0" xfId="0" applyNumberFormat="1" applyFill="1"/>
    <xf numFmtId="167" fontId="0" fillId="5" borderId="0" xfId="0" applyNumberFormat="1" applyFill="1"/>
    <xf numFmtId="0" fontId="0" fillId="5" borderId="1" xfId="0" applyFill="1" applyBorder="1"/>
    <xf numFmtId="0" fontId="0" fillId="5" borderId="3" xfId="0" applyFill="1" applyBorder="1"/>
    <xf numFmtId="0" fontId="0" fillId="5" borderId="8" xfId="0" applyFill="1" applyBorder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169" fontId="0" fillId="5" borderId="0" xfId="0" applyNumberFormat="1" applyFill="1"/>
    <xf numFmtId="164" fontId="0" fillId="0" borderId="0" xfId="0" applyNumberFormat="1"/>
    <xf numFmtId="0" fontId="1" fillId="3" borderId="9" xfId="0" applyFont="1" applyFill="1" applyBorder="1" applyAlignment="1">
      <alignment horizontal="center" vertical="center" wrapText="1"/>
    </xf>
    <xf numFmtId="165" fontId="0" fillId="0" borderId="0" xfId="0" applyNumberFormat="1"/>
    <xf numFmtId="164" fontId="0" fillId="5" borderId="0" xfId="3" applyFont="1" applyFill="1"/>
    <xf numFmtId="173" fontId="1" fillId="4" borderId="3" xfId="4" applyNumberFormat="1" applyFont="1" applyFill="1" applyBorder="1"/>
    <xf numFmtId="173" fontId="0" fillId="0" borderId="0" xfId="4" applyNumberFormat="1" applyFont="1"/>
    <xf numFmtId="173" fontId="1" fillId="0" borderId="0" xfId="4" applyNumberFormat="1" applyFont="1"/>
    <xf numFmtId="0" fontId="15" fillId="5" borderId="0" xfId="0" applyFont="1" applyFill="1"/>
    <xf numFmtId="0" fontId="16" fillId="5" borderId="4" xfId="0" applyFont="1" applyFill="1" applyBorder="1" applyAlignment="1">
      <alignment horizontal="center" vertical="center" wrapText="1"/>
    </xf>
    <xf numFmtId="0" fontId="17" fillId="5" borderId="0" xfId="0" applyFont="1" applyFill="1"/>
    <xf numFmtId="0" fontId="17" fillId="5" borderId="1" xfId="0" applyFont="1" applyFill="1" applyBorder="1"/>
    <xf numFmtId="165" fontId="17" fillId="5" borderId="1" xfId="4" applyFont="1" applyFill="1" applyBorder="1"/>
    <xf numFmtId="169" fontId="17" fillId="5" borderId="1" xfId="3" applyNumberFormat="1" applyFont="1" applyFill="1" applyBorder="1"/>
    <xf numFmtId="171" fontId="17" fillId="5" borderId="1" xfId="3" applyNumberFormat="1" applyFont="1" applyFill="1" applyBorder="1"/>
    <xf numFmtId="172" fontId="17" fillId="5" borderId="1" xfId="3" applyNumberFormat="1" applyFont="1" applyFill="1" applyBorder="1"/>
    <xf numFmtId="165" fontId="17" fillId="5" borderId="2" xfId="4" applyFont="1" applyFill="1" applyBorder="1"/>
    <xf numFmtId="169" fontId="17" fillId="5" borderId="2" xfId="3" applyNumberFormat="1" applyFont="1" applyFill="1" applyBorder="1"/>
    <xf numFmtId="171" fontId="17" fillId="5" borderId="2" xfId="3" applyNumberFormat="1" applyFont="1" applyFill="1" applyBorder="1"/>
    <xf numFmtId="172" fontId="17" fillId="5" borderId="2" xfId="3" applyNumberFormat="1" applyFont="1" applyFill="1" applyBorder="1"/>
    <xf numFmtId="165" fontId="17" fillId="5" borderId="3" xfId="4" applyFont="1" applyFill="1" applyBorder="1"/>
    <xf numFmtId="169" fontId="17" fillId="5" borderId="3" xfId="3" applyNumberFormat="1" applyFont="1" applyFill="1" applyBorder="1"/>
    <xf numFmtId="171" fontId="17" fillId="5" borderId="3" xfId="3" applyNumberFormat="1" applyFont="1" applyFill="1" applyBorder="1"/>
    <xf numFmtId="172" fontId="17" fillId="5" borderId="3" xfId="3" applyNumberFormat="1" applyFont="1" applyFill="1" applyBorder="1"/>
    <xf numFmtId="0" fontId="9" fillId="7" borderId="0" xfId="0" applyFont="1" applyFill="1" applyAlignment="1">
      <alignment horizontal="center" vertical="center" wrapText="1"/>
    </xf>
    <xf numFmtId="0" fontId="11" fillId="6" borderId="0" xfId="0" applyFont="1" applyFill="1" applyAlignment="1">
      <alignment horizontal="center" vertical="center" wrapText="1"/>
    </xf>
    <xf numFmtId="173" fontId="17" fillId="5" borderId="2" xfId="4" applyNumberFormat="1" applyFont="1" applyFill="1" applyBorder="1" applyProtection="1"/>
    <xf numFmtId="9" fontId="17" fillId="5" borderId="2" xfId="1" applyFont="1" applyFill="1" applyBorder="1" applyProtection="1"/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" fillId="0" borderId="0" xfId="0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9" xfId="0" applyFont="1" applyFill="1" applyBorder="1" applyAlignment="1" applyProtection="1">
      <alignment horizontal="center" vertical="center" wrapText="1"/>
      <protection locked="0"/>
    </xf>
    <xf numFmtId="0" fontId="1" fillId="3" borderId="4" xfId="0" applyFont="1" applyFill="1" applyBorder="1" applyAlignment="1" applyProtection="1">
      <alignment horizontal="center" vertical="center" wrapText="1"/>
      <protection locked="0"/>
    </xf>
    <xf numFmtId="0" fontId="0" fillId="5" borderId="2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173" fontId="0" fillId="5" borderId="2" xfId="4" applyNumberFormat="1" applyFont="1" applyFill="1" applyBorder="1" applyProtection="1">
      <protection locked="0"/>
    </xf>
    <xf numFmtId="0" fontId="0" fillId="5" borderId="2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1" fillId="4" borderId="3" xfId="0" applyFont="1" applyFill="1" applyBorder="1" applyProtection="1">
      <protection locked="0"/>
    </xf>
    <xf numFmtId="173" fontId="1" fillId="4" borderId="3" xfId="4" applyNumberFormat="1" applyFont="1" applyFill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173" fontId="0" fillId="0" borderId="0" xfId="4" applyNumberFormat="1" applyFont="1" applyProtection="1">
      <protection locked="0"/>
    </xf>
    <xf numFmtId="167" fontId="0" fillId="0" borderId="0" xfId="0" applyNumberFormat="1" applyProtection="1">
      <protection locked="0"/>
    </xf>
    <xf numFmtId="9" fontId="0" fillId="0" borderId="0" xfId="1" applyFont="1" applyProtection="1">
      <protection locked="0"/>
    </xf>
    <xf numFmtId="165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173" fontId="0" fillId="5" borderId="0" xfId="4" applyNumberFormat="1" applyFont="1" applyFill="1" applyBorder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horizontal="right" vertical="center" wrapText="1"/>
      <protection locked="0"/>
    </xf>
    <xf numFmtId="170" fontId="0" fillId="2" borderId="0" xfId="0" applyNumberFormat="1" applyFill="1" applyAlignment="1" applyProtection="1">
      <alignment horizontal="right"/>
      <protection locked="0"/>
    </xf>
    <xf numFmtId="9" fontId="0" fillId="2" borderId="0" xfId="0" applyNumberFormat="1" applyFill="1" applyAlignment="1" applyProtection="1">
      <alignment horizontal="right"/>
      <protection locked="0"/>
    </xf>
    <xf numFmtId="0" fontId="18" fillId="0" borderId="0" xfId="0" applyFont="1" applyAlignment="1" applyProtection="1">
      <alignment horizontal="center"/>
      <protection locked="0"/>
    </xf>
    <xf numFmtId="0" fontId="1" fillId="4" borderId="3" xfId="0" applyFont="1" applyFill="1" applyBorder="1" applyAlignment="1" applyProtection="1">
      <alignment horizontal="center"/>
      <protection locked="0"/>
    </xf>
    <xf numFmtId="0" fontId="13" fillId="5" borderId="0" xfId="2" applyFill="1" applyAlignment="1">
      <alignment horizontal="left" vertical="center"/>
    </xf>
    <xf numFmtId="14" fontId="7" fillId="6" borderId="5" xfId="0" applyNumberFormat="1" applyFont="1" applyFill="1" applyBorder="1" applyAlignment="1">
      <alignment horizontal="center" vertical="center" wrapText="1" readingOrder="1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173" fontId="0" fillId="2" borderId="1" xfId="4" applyNumberFormat="1" applyFont="1" applyFill="1" applyBorder="1"/>
    <xf numFmtId="173" fontId="0" fillId="2" borderId="2" xfId="4" applyNumberFormat="1" applyFont="1" applyFill="1" applyBorder="1"/>
    <xf numFmtId="173" fontId="0" fillId="2" borderId="3" xfId="4" applyNumberFormat="1" applyFont="1" applyFill="1" applyBorder="1"/>
    <xf numFmtId="173" fontId="0" fillId="5" borderId="0" xfId="0" applyNumberFormat="1" applyFill="1"/>
    <xf numFmtId="9" fontId="1" fillId="0" borderId="0" xfId="1" applyFont="1" applyAlignment="1" applyProtection="1">
      <alignment horizontal="center"/>
      <protection locked="0"/>
    </xf>
    <xf numFmtId="174" fontId="0" fillId="0" borderId="0" xfId="1" applyNumberFormat="1" applyFont="1" applyProtection="1">
      <protection locked="0"/>
    </xf>
    <xf numFmtId="175" fontId="0" fillId="0" borderId="0" xfId="1" applyNumberFormat="1" applyFont="1" applyProtection="1">
      <protection locked="0"/>
    </xf>
    <xf numFmtId="173" fontId="0" fillId="0" borderId="0" xfId="0" applyNumberFormat="1" applyProtection="1">
      <protection locked="0"/>
    </xf>
    <xf numFmtId="9" fontId="1" fillId="4" borderId="3" xfId="1" applyFont="1" applyFill="1" applyBorder="1" applyProtection="1">
      <protection locked="0"/>
    </xf>
    <xf numFmtId="9" fontId="0" fillId="2" borderId="2" xfId="1" applyFont="1" applyFill="1" applyBorder="1" applyProtection="1">
      <protection locked="0"/>
    </xf>
    <xf numFmtId="0" fontId="0" fillId="5" borderId="2" xfId="0" applyFill="1" applyBorder="1" applyAlignment="1">
      <alignment horizontal="center"/>
    </xf>
    <xf numFmtId="173" fontId="0" fillId="5" borderId="2" xfId="4" applyNumberFormat="1" applyFont="1" applyFill="1" applyBorder="1" applyProtection="1"/>
    <xf numFmtId="176" fontId="0" fillId="5" borderId="2" xfId="4" applyNumberFormat="1" applyFont="1" applyFill="1" applyBorder="1" applyProtection="1">
      <protection locked="0"/>
    </xf>
    <xf numFmtId="173" fontId="0" fillId="2" borderId="1" xfId="3" applyNumberFormat="1" applyFont="1" applyFill="1" applyBorder="1"/>
    <xf numFmtId="173" fontId="0" fillId="2" borderId="2" xfId="3" applyNumberFormat="1" applyFont="1" applyFill="1" applyBorder="1"/>
    <xf numFmtId="173" fontId="0" fillId="2" borderId="3" xfId="3" applyNumberFormat="1" applyFont="1" applyFill="1" applyBorder="1"/>
    <xf numFmtId="165" fontId="0" fillId="5" borderId="2" xfId="4" applyFont="1" applyFill="1" applyBorder="1" applyProtection="1">
      <protection locked="0"/>
    </xf>
    <xf numFmtId="0" fontId="0" fillId="8" borderId="0" xfId="0" applyFill="1" applyAlignment="1" applyProtection="1">
      <alignment horizontal="center"/>
      <protection locked="0"/>
    </xf>
    <xf numFmtId="0" fontId="0" fillId="8" borderId="2" xfId="0" applyFill="1" applyBorder="1" applyProtection="1">
      <protection locked="0"/>
    </xf>
    <xf numFmtId="165" fontId="0" fillId="8" borderId="2" xfId="4" applyFont="1" applyFill="1" applyBorder="1" applyProtection="1">
      <protection locked="0"/>
    </xf>
    <xf numFmtId="0" fontId="4" fillId="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4" fillId="5" borderId="0" xfId="0" applyFont="1" applyFill="1" applyAlignment="1">
      <alignment horizontal="center"/>
    </xf>
  </cellXfs>
  <cellStyles count="5">
    <cellStyle name="Comma" xfId="3" builtinId="3"/>
    <cellStyle name="Currency" xfId="4" builtinId="4"/>
    <cellStyle name="Normal" xfId="0" builtinId="0"/>
    <cellStyle name="Normal 2" xfId="2" xr:uid="{C7A0127C-DFC4-462E-9223-19CC799C7C97}"/>
    <cellStyle name="Per cent" xfId="1" builtinId="5"/>
  </cellStyles>
  <dxfs count="27">
    <dxf>
      <fill>
        <patternFill>
          <bgColor theme="8" tint="0.79998168889431442"/>
        </patternFill>
      </fill>
    </dxf>
    <dxf>
      <numFmt numFmtId="177" formatCode="_-[$£-809]* #,##0_-;\-[$£-809]* #,##0_-;_-[$£-809]* &quot;-&quot;_-;_-@_-"/>
    </dxf>
    <dxf>
      <numFmt numFmtId="178" formatCode="_([$€-2]\ * #,##0_);_([$€-2]\ * \(#,##0\);_([$€-2]\ * &quot;-&quot;_);_(@_)"/>
    </dxf>
    <dxf>
      <numFmt numFmtId="179" formatCode="_(&quot;$&quot;* #,##0_);_(&quot;$&quot;* \(#,##0\);_(&quot;$&quot;* &quot;-&quot;_);_(@_)"/>
    </dxf>
    <dxf>
      <numFmt numFmtId="180" formatCode="_-[$$-C09]* #,##0_-;\-[$$-C09]* #,##0_-;_-[$$-C09]* &quot;-&quot;_-;_-@_-"/>
    </dxf>
    <dxf>
      <numFmt numFmtId="181" formatCode="_-[$$-4809]* #,##0_-;\-[$$-4809]* #,##0_-;_-[$$-4809]* &quot;-&quot;_-;_-@_-"/>
    </dxf>
    <dxf>
      <numFmt numFmtId="182" formatCode="_-[$$-1009]* #,##0_-;\-[$$-1009]* #,##0_-;_-[$$-1009]* &quot;-&quot;_-;_-@_-"/>
    </dxf>
    <dxf>
      <numFmt numFmtId="183" formatCode="_-[$¥-411]* #,##0_-;\-[$¥-411]* #,##0_-;_-[$¥-411]* &quot;-&quot;_-;_-@_-"/>
    </dxf>
    <dxf>
      <numFmt numFmtId="177" formatCode="_-[$£-809]* #,##0_-;\-[$£-809]* #,##0_-;_-[$£-809]* &quot;-&quot;_-;_-@_-"/>
    </dxf>
    <dxf>
      <numFmt numFmtId="178" formatCode="_([$€-2]\ * #,##0_);_([$€-2]\ * \(#,##0\);_([$€-2]\ * &quot;-&quot;_);_(@_)"/>
    </dxf>
    <dxf>
      <numFmt numFmtId="179" formatCode="_(&quot;$&quot;* #,##0_);_(&quot;$&quot;* \(#,##0\);_(&quot;$&quot;* &quot;-&quot;_);_(@_)"/>
    </dxf>
    <dxf>
      <numFmt numFmtId="180" formatCode="_-[$$-C09]* #,##0_-;\-[$$-C09]* #,##0_-;_-[$$-C09]* &quot;-&quot;_-;_-@_-"/>
    </dxf>
    <dxf>
      <numFmt numFmtId="181" formatCode="_-[$$-4809]* #,##0_-;\-[$$-4809]* #,##0_-;_-[$$-4809]* &quot;-&quot;_-;_-@_-"/>
    </dxf>
    <dxf>
      <numFmt numFmtId="182" formatCode="_-[$$-1009]* #,##0_-;\-[$$-1009]* #,##0_-;_-[$$-1009]* &quot;-&quot;_-;_-@_-"/>
    </dxf>
    <dxf>
      <numFmt numFmtId="183" formatCode="_-[$¥-411]* #,##0_-;\-[$¥-411]* #,##0_-;_-[$¥-411]* &quot;-&quot;_-;_-@_-"/>
    </dxf>
    <dxf>
      <numFmt numFmtId="177" formatCode="_-[$£-809]* #,##0_-;\-[$£-809]* #,##0_-;_-[$£-809]* &quot;-&quot;_-;_-@_-"/>
    </dxf>
    <dxf>
      <numFmt numFmtId="178" formatCode="_([$€-2]\ * #,##0_);_([$€-2]\ * \(#,##0\);_([$€-2]\ * &quot;-&quot;_);_(@_)"/>
    </dxf>
    <dxf>
      <numFmt numFmtId="179" formatCode="_(&quot;$&quot;* #,##0_);_(&quot;$&quot;* \(#,##0\);_(&quot;$&quot;* &quot;-&quot;_);_(@_)"/>
    </dxf>
    <dxf>
      <numFmt numFmtId="180" formatCode="_-[$$-C09]* #,##0_-;\-[$$-C09]* #,##0_-;_-[$$-C09]* &quot;-&quot;_-;_-@_-"/>
    </dxf>
    <dxf>
      <numFmt numFmtId="181" formatCode="_-[$$-4809]* #,##0_-;\-[$$-4809]* #,##0_-;_-[$$-4809]* &quot;-&quot;_-;_-@_-"/>
    </dxf>
    <dxf>
      <numFmt numFmtId="182" formatCode="_-[$$-1009]* #,##0_-;\-[$$-1009]* #,##0_-;_-[$$-1009]* &quot;-&quot;_-;_-@_-"/>
    </dxf>
    <dxf>
      <numFmt numFmtId="183" formatCode="_-[$¥-411]* #,##0_-;\-[$¥-411]* #,##0_-;_-[$¥-411]* &quot;-&quot;_-;_-@_-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5" tint="-0.24994659260841701"/>
      </font>
      <fill>
        <patternFill>
          <bgColor theme="5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5BBB9-C476-754F-9B9D-21EDEEC275AA}">
  <sheetPr codeName="Sheet1"/>
  <dimension ref="B1:AC47"/>
  <sheetViews>
    <sheetView showGridLines="0" tabSelected="1" topLeftCell="A9" zoomScale="89" zoomScaleNormal="70" workbookViewId="0">
      <selection activeCell="D17" sqref="D17"/>
    </sheetView>
  </sheetViews>
  <sheetFormatPr defaultColWidth="11" defaultRowHeight="15.95" outlineLevelCol="1"/>
  <cols>
    <col min="1" max="1" width="2.125" customWidth="1"/>
    <col min="2" max="2" width="23.125" customWidth="1"/>
    <col min="3" max="3" width="14.875" customWidth="1"/>
    <col min="4" max="4" width="15.5" customWidth="1"/>
    <col min="5" max="5" width="12.5" bestFit="1" customWidth="1"/>
    <col min="6" max="7" width="12.625" customWidth="1"/>
    <col min="8" max="8" width="12.875" customWidth="1"/>
    <col min="9" max="9" width="12.125" customWidth="1"/>
    <col min="10" max="10" width="13.125" customWidth="1"/>
    <col min="11" max="11" width="12.875" customWidth="1"/>
    <col min="12" max="12" width="16" customWidth="1"/>
    <col min="13" max="13" width="12.875" customWidth="1"/>
    <col min="14" max="14" width="15.5" customWidth="1"/>
    <col min="15" max="15" width="16.625" customWidth="1"/>
    <col min="16" max="16" width="13" customWidth="1"/>
    <col min="17" max="17" width="2.5" customWidth="1"/>
    <col min="18" max="18" width="13.125" customWidth="1"/>
    <col min="19" max="19" width="13.625" customWidth="1"/>
    <col min="20" max="20" width="2.125" customWidth="1"/>
    <col min="21" max="21" width="14.5" customWidth="1" outlineLevel="1"/>
    <col min="22" max="22" width="12.875" customWidth="1"/>
    <col min="23" max="23" width="2.375" customWidth="1"/>
    <col min="24" max="24" width="16.375" hidden="1" customWidth="1" outlineLevel="1"/>
    <col min="25" max="25" width="12" customWidth="1" collapsed="1"/>
    <col min="26" max="26" width="11" hidden="1" customWidth="1"/>
  </cols>
  <sheetData>
    <row r="1" spans="2:29"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</row>
    <row r="2" spans="2:29" ht="21">
      <c r="B2" s="66" t="s">
        <v>0</v>
      </c>
      <c r="C2" s="66"/>
      <c r="D2" s="67" t="s">
        <v>1</v>
      </c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5"/>
      <c r="Q2" s="65"/>
      <c r="R2" s="65"/>
      <c r="S2" s="65"/>
      <c r="T2" s="65"/>
    </row>
    <row r="3" spans="2:29">
      <c r="B3" s="65"/>
      <c r="C3" s="68"/>
      <c r="D3" s="119" t="s">
        <v>2</v>
      </c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</row>
    <row r="4" spans="2:29">
      <c r="B4" s="69"/>
      <c r="C4" s="69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</row>
    <row r="5" spans="2:29" ht="11.1" customHeight="1"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</row>
    <row r="6" spans="2:29" ht="18" customHeight="1">
      <c r="B6" s="70" t="s">
        <v>3</v>
      </c>
      <c r="C6" s="101" t="s">
        <v>4</v>
      </c>
      <c r="D6" s="65"/>
      <c r="E6" s="71" t="s">
        <v>5</v>
      </c>
      <c r="F6" s="101" t="s">
        <v>6</v>
      </c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</row>
    <row r="7" spans="2:29" ht="18" customHeight="1">
      <c r="B7" s="65"/>
      <c r="C7" s="71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</row>
    <row r="8" spans="2:29">
      <c r="B8" s="72" t="s">
        <v>7</v>
      </c>
      <c r="C8" s="100" t="s">
        <v>8</v>
      </c>
      <c r="D8" s="65"/>
      <c r="E8" s="65" t="s">
        <v>9</v>
      </c>
      <c r="F8" s="101" t="s">
        <v>10</v>
      </c>
      <c r="G8" s="65"/>
      <c r="H8" s="65"/>
      <c r="I8" s="65" t="s">
        <v>11</v>
      </c>
      <c r="J8" s="65"/>
      <c r="K8" s="101">
        <v>8</v>
      </c>
      <c r="L8" s="65"/>
      <c r="M8" s="65"/>
      <c r="N8" s="65"/>
      <c r="O8" s="65"/>
      <c r="P8" s="65"/>
      <c r="Q8" s="65"/>
      <c r="R8" s="65"/>
      <c r="S8" s="65"/>
      <c r="T8" s="65"/>
      <c r="Z8" s="38"/>
      <c r="AA8" s="38"/>
    </row>
    <row r="9" spans="2:29">
      <c r="B9" s="65"/>
      <c r="C9" s="65"/>
      <c r="D9" s="65"/>
      <c r="E9" s="65"/>
      <c r="F9" s="96" t="str">
        <f>IF($F$8="Hours", "Lynx Input", "")</f>
        <v/>
      </c>
      <c r="G9" s="96" t="s">
        <v>2</v>
      </c>
      <c r="H9" s="65"/>
      <c r="I9" s="65"/>
      <c r="J9" s="65"/>
      <c r="K9" s="65"/>
      <c r="L9" s="65"/>
      <c r="M9" s="65"/>
      <c r="N9" s="96" t="str">
        <f>IF($F$8="Hours", "Lynx Input", "")</f>
        <v/>
      </c>
      <c r="O9" s="96" t="s">
        <v>2</v>
      </c>
      <c r="P9" s="65"/>
      <c r="Q9" s="65"/>
      <c r="R9" s="65"/>
      <c r="S9" s="65"/>
      <c r="T9" s="65"/>
      <c r="U9" s="65"/>
      <c r="V9" s="65"/>
    </row>
    <row r="10" spans="2:29" ht="75" customHeight="1">
      <c r="B10" s="73" t="s">
        <v>12</v>
      </c>
      <c r="C10" s="73" t="s">
        <v>13</v>
      </c>
      <c r="D10" s="73" t="s">
        <v>14</v>
      </c>
      <c r="E10" s="73" t="str">
        <f>IF(ISBLANK(F$8), "Target Rate", "Target rate per "&amp;F$8)</f>
        <v>Target rate per Day</v>
      </c>
      <c r="F10" s="73" t="str">
        <f>IF(ISBLANK(F$8), "Total", "Total "&amp;F$8)</f>
        <v>Total Day</v>
      </c>
      <c r="G10" s="73" t="s">
        <v>15</v>
      </c>
      <c r="H10" s="73" t="s">
        <v>16</v>
      </c>
      <c r="I10" s="73" t="str">
        <f>IF(ISBLANK(F$8), "Investment", "Investment "&amp;F$8)</f>
        <v>Investment Day</v>
      </c>
      <c r="J10" s="73" t="s">
        <v>17</v>
      </c>
      <c r="K10" s="73" t="s">
        <v>18</v>
      </c>
      <c r="L10" s="73" t="str">
        <f>IF(ISBLANK(F$8), "Blended Rate w/ investment", "Blended Rate w/ investment - "&amp;F$8)</f>
        <v>Blended Rate w/ investment - Day</v>
      </c>
      <c r="M10" s="73" t="s">
        <v>19</v>
      </c>
      <c r="N10" s="73" t="str">
        <f>IF(ISBLANK(F$8), "Blended Rate w/ Contingency", "Blended Rate w/ Contingency - "&amp;F$8)</f>
        <v>Blended Rate w/ Contingency - Day</v>
      </c>
      <c r="O10" s="73" t="s">
        <v>20</v>
      </c>
      <c r="P10" s="73" t="s">
        <v>21</v>
      </c>
      <c r="Q10" s="71"/>
      <c r="R10" s="74" t="str">
        <f>IF(ISBLANK(F$8),"Target rate in US$","Target rate per "&amp;F$8&amp;" in US$")</f>
        <v>Target rate per Day in US$</v>
      </c>
      <c r="S10" s="75" t="str">
        <f>IF(ISBLANK(F$8), "Difference in rate", "Difference in rate per "&amp;F$8)</f>
        <v>Difference in rate per Day</v>
      </c>
      <c r="T10" s="71"/>
      <c r="U10" s="73" t="str">
        <f>IF(ISBLANK(F$8), "Billable hours bonus", "Billable hours bonus per "&amp;F$8)</f>
        <v>Billable hours bonus per Day</v>
      </c>
      <c r="V10" s="73" t="s">
        <v>22</v>
      </c>
      <c r="X10" s="39" t="str">
        <f>IF(ISBLANK(F$8), "Total Cost", "Total Cost per "&amp;F$8)</f>
        <v>Total Cost per Day</v>
      </c>
      <c r="Y10" s="4" t="s">
        <v>23</v>
      </c>
      <c r="Z10" s="4" t="s">
        <v>24</v>
      </c>
    </row>
    <row r="11" spans="2:29">
      <c r="B11" s="76" t="str">
        <f>IF('INPUT - Weekly Breakdown'!B10="","",'INPUT - Weekly Breakdown'!B10)</f>
        <v>BC - Principal</v>
      </c>
      <c r="C11" s="76" t="str">
        <f>IF('INPUT - Weekly Breakdown'!C10="","",'INPUT - Weekly Breakdown'!C10)</f>
        <v>Staff 1</v>
      </c>
      <c r="D11" s="77" t="s">
        <v>8</v>
      </c>
      <c r="E11" s="78">
        <f>IF($B11="","",IF(F$8="Hours",VLOOKUP($B11,Rates!$B$28:$I$34,Rates!C$47,FALSE),VLOOKUP($B11,Rates!$B$16:$I$22,Rates!$C$47,FALSE)))</f>
        <v>2500</v>
      </c>
      <c r="F11" s="79">
        <f>IF(B11="","",IF(F$8="Hours", 'INPUT - Weekly Breakdown'!D10, 'INPUT - Weekly Breakdown'!D10))</f>
        <v>0</v>
      </c>
      <c r="G11" s="120">
        <f>IFERROR(IF(F$8="Day", F11*K$8, F11),"")</f>
        <v>0</v>
      </c>
      <c r="H11" s="78">
        <f t="shared" ref="H11:H29" si="0">IF(B11="","",(E11*F11))</f>
        <v>0</v>
      </c>
      <c r="I11" s="80"/>
      <c r="J11" s="78">
        <f>IF(B11="","",IF(F$8="Hours", E11*I11, E11*I11))</f>
        <v>0</v>
      </c>
      <c r="K11" s="78">
        <f t="shared" ref="K11:K29" si="1">IF(B11="","",H11-J11)</f>
        <v>0</v>
      </c>
      <c r="L11" s="78">
        <f t="shared" ref="L11:L29" si="2">IF(B11="","",E11*(1-$C$46))</f>
        <v>2500</v>
      </c>
      <c r="M11" s="111"/>
      <c r="N11" s="118">
        <f>IF(B11="","",(L11*(1+M11)))</f>
        <v>2500</v>
      </c>
      <c r="O11" s="121">
        <f>IF(B11="","",IF(F$8="Hours", N11, N11/K$8))</f>
        <v>312.5</v>
      </c>
      <c r="P11" s="78">
        <f>IF(B11="","",F11*N11)</f>
        <v>0</v>
      </c>
      <c r="Q11" s="65"/>
      <c r="R11" s="78">
        <f>IF(B11="","",IF(F$8="Hours", VLOOKUP(B11,Rates!$B$5:$C$11,2,FALSE), VLOOKUP(B11,Rates!$B$5:$C$11,2,FALSE)*8))</f>
        <v>2880</v>
      </c>
      <c r="S11" s="114">
        <f>IF(B11="","",(L11*VLOOKUP(C$8,Rates!$B$39:$D$45,3,0)-R11))</f>
        <v>445</v>
      </c>
      <c r="T11" s="65"/>
      <c r="U11" s="78">
        <f t="shared" ref="U11:U29" si="3">IF(B11="","",IF(F$8="Hours", O11*$C$45, N11*C$45))</f>
        <v>250</v>
      </c>
      <c r="V11" s="78">
        <f t="shared" ref="V11:V29" si="4">IF(B11="","",U11*F11)</f>
        <v>0</v>
      </c>
      <c r="W11" s="43"/>
      <c r="X11" s="63">
        <f>IFERROR(IF(F$8="Hours", IF($D11&lt;&gt;C$8, (((INDEX('Rates v2 (do not delete)'!$C$8:$I$14,MATCH('OUTPUT - Pricing model'!$B11,'Rates v2 (do not delete)'!$B$8:$B$14,0),MATCH('OUTPUT - Pricing model'!$D11,'Rates v2 (do not delete)'!$C$7:$I$7,0)))*VLOOKUP($D11,Rates!$B$39:$D$45,3,0))+((O11)*0.05)+(INDEX('Rates v2 (do not delete)'!$C$8:$I$14,MATCH('OUTPUT - Pricing model'!$B11,'Rates v2 (do not delete)'!$B$8:$B$14,0),MATCH('OUTPUT - Pricing model'!$D11,'Rates v2 (do not delete)'!$C$7:$I$7,0))*VLOOKUP($D11,Rates!$B$39:$D$45,3,0))*(1-0.10948905109489)*0.1), ((INDEX('Rates v2 (do not delete)'!$C$8:$I$14,MATCH('OUTPUT - Pricing model'!$B11,'Rates v2 (do not delete)'!$B$8:$B$14,0),MATCH('OUTPUT - Pricing model'!$D11,'Rates v2 (do not delete)'!$C$7:$I$7,0)))+((O11)*0.05)+(INDEX('Rates v2 (do not delete)'!$C$8:$I$14,MATCH('OUTPUT - Pricing model'!$B11,'Rates v2 (do not delete)'!$B$8:$B$14,0),MATCH('OUTPUT - Pricing model'!$D11,'Rates v2 (do not delete)'!$C$7:$I$7,0)))*(1-0.10948905109489)*0.1)),
IF($D11&lt;&gt;C$8, (((INDEX('Rates v2 (do not delete)'!$C$8:$I$14,MATCH($B11,'Rates v2 (do not delete)'!$B$8:$B$14,0),MATCH($D11,'Rates v2 (do not delete)'!$C$7:$I$7,0)))*VLOOKUP($D11,Rates!$B$39:$D$45,3,0)*K$8)+((N11)*0.05)+(INDEX('Rates v2 (do not delete)'!$C$8:$I$14,MATCH($B11,'Rates v2 (do not delete)'!$B$8:$B$14,0),MATCH($D11,'Rates v2 (do not delete)'!$C$7:$I$7,0))*VLOOKUP($D11,Rates!$B$39:$D$45,3,0)*K$8)*(1-0.10948905109489)*0.1), ((INDEX('Rates v2 (do not delete)'!$C$8:$I$14,MATCH($B11,'Rates v2 (do not delete)'!$B$8:$B$14,0),MATCH($D11,'Rates v2 (do not delete)'!$C$7:$I$7,0))*K$8)+((N11)*0.05)+(INDEX('Rates v2 (do not delete)'!$C$8:$I$14,MATCH($B11,'Rates v2 (do not delete)'!$B$8:$B$14,0),MATCH($D11,'Rates v2 (do not delete)'!$C$7:$I$7,0))*K$8)*(1-0.10948905109489)*0.1))),"")</f>
        <v>825.30341605839419</v>
      </c>
      <c r="Y11" s="63">
        <f t="shared" ref="Y11:Y29" si="5">IFERROR(X11*F11,"")</f>
        <v>0</v>
      </c>
      <c r="Z11" s="64" t="str">
        <f t="shared" ref="Z11:Z19" si="6">IFERROR((P11-Y11)/P11,"")</f>
        <v/>
      </c>
      <c r="AA11" s="40"/>
      <c r="AB11" s="40"/>
      <c r="AC11" s="38"/>
    </row>
    <row r="12" spans="2:29">
      <c r="B12" s="76" t="str">
        <f>IF('INPUT - Weekly Breakdown'!B11="","",'INPUT - Weekly Breakdown'!B11)</f>
        <v>BC - Senior Consultant</v>
      </c>
      <c r="C12" s="76" t="str">
        <f>IF('INPUT - Weekly Breakdown'!C11="","",'INPUT - Weekly Breakdown'!C11)</f>
        <v>Staff 2</v>
      </c>
      <c r="D12" s="77" t="s">
        <v>8</v>
      </c>
      <c r="E12" s="78">
        <f>IF($B12="","",IF(F$8="Hours",VLOOKUP($B12,Rates!$B$28:$I$34,Rates!C$47,FALSE),VLOOKUP($B12,Rates!$B$16:$I$22,Rates!$C$47,FALSE)))</f>
        <v>2100</v>
      </c>
      <c r="F12" s="79">
        <f>IF(B12="","",IF(F$8="Hours", 'INPUT - Weekly Breakdown'!D11, 'INPUT - Weekly Breakdown'!D11))</f>
        <v>26</v>
      </c>
      <c r="G12" s="120">
        <f t="shared" ref="G12:G29" si="7">IFERROR(IF(F$8="Day", F12*K$8, F12),"")</f>
        <v>208</v>
      </c>
      <c r="H12" s="78">
        <f t="shared" si="0"/>
        <v>54600</v>
      </c>
      <c r="I12" s="80"/>
      <c r="J12" s="78">
        <f t="shared" ref="J12:J29" si="8">IF(B12="","",IF(F$8="Hours", E12*I12, E12*I12))</f>
        <v>0</v>
      </c>
      <c r="K12" s="78">
        <f t="shared" si="1"/>
        <v>54600</v>
      </c>
      <c r="L12" s="78">
        <f t="shared" si="2"/>
        <v>2100</v>
      </c>
      <c r="M12" s="111"/>
      <c r="N12" s="118">
        <f t="shared" ref="N12:N29" si="9">IF(B12="","",(L12*(1+M12)))</f>
        <v>2100</v>
      </c>
      <c r="O12" s="121">
        <f t="shared" ref="O12:O29" si="10">IF(B12="","",IF(F$8="Hours", N12, N12/K$8))</f>
        <v>262.5</v>
      </c>
      <c r="P12" s="78">
        <f t="shared" ref="P12:P29" si="11">IF(B12="","",F12*N12)</f>
        <v>54600</v>
      </c>
      <c r="Q12" s="65"/>
      <c r="R12" s="78">
        <f>IF(B12="","",IF(F$8="Hours", VLOOKUP(B12,Rates!$B$5:$C$11,2,FALSE), VLOOKUP(B12,Rates!$B$5:$C$11,2,FALSE)*8))</f>
        <v>2520</v>
      </c>
      <c r="S12" s="114">
        <f>IF(B12="","",(L12*VLOOKUP(C$8,Rates!$B$39:$D$45,3,0)-R12))</f>
        <v>273</v>
      </c>
      <c r="T12" s="65"/>
      <c r="U12" s="78">
        <f t="shared" si="3"/>
        <v>210</v>
      </c>
      <c r="V12" s="78">
        <f t="shared" si="4"/>
        <v>5460</v>
      </c>
      <c r="W12" s="43"/>
      <c r="X12" s="63">
        <f>IFERROR(IF(F$8="Hours", IF($D12&lt;&gt;C$8, (((INDEX('Rates v2 (do not delete)'!$C$8:$I$14,MATCH('OUTPUT - Pricing model'!$B12,'Rates v2 (do not delete)'!$B$8:$B$14,0),MATCH('OUTPUT - Pricing model'!$D12,'Rates v2 (do not delete)'!$C$7:$I$7,0)))*VLOOKUP($D12,Rates!$B$39:$D$45,3,0))+((O12)*0.05)+(INDEX('Rates v2 (do not delete)'!$C$8:$I$14,MATCH('OUTPUT - Pricing model'!$B12,'Rates v2 (do not delete)'!$B$8:$B$14,0),MATCH('OUTPUT - Pricing model'!$D12,'Rates v2 (do not delete)'!$C$7:$I$7,0))*VLOOKUP($D12,Rates!$B$39:$D$45,3,0))*(1-0.10948905109489)*0.1), ((INDEX('Rates v2 (do not delete)'!$C$8:$I$14,MATCH('OUTPUT - Pricing model'!$B12,'Rates v2 (do not delete)'!$B$8:$B$14,0),MATCH('OUTPUT - Pricing model'!$D12,'Rates v2 (do not delete)'!$C$7:$I$7,0)))+((O12)*0.05)+(INDEX('Rates v2 (do not delete)'!$C$8:$I$14,MATCH('OUTPUT - Pricing model'!$B12,'Rates v2 (do not delete)'!$B$8:$B$14,0),MATCH('OUTPUT - Pricing model'!$D12,'Rates v2 (do not delete)'!$C$7:$I$7,0)))*(1-0.10948905109489)*0.1)),
IF($D12&lt;&gt;C$8, (((INDEX('Rates v2 (do not delete)'!$C$8:$I$14,MATCH($B12,'Rates v2 (do not delete)'!$B$8:$B$14,0),MATCH($D12,'Rates v2 (do not delete)'!$C$7:$I$7,0)))*VLOOKUP($D12,Rates!$B$39:$D$45,3,0)*K$8)+((N12)*0.05)+(INDEX('Rates v2 (do not delete)'!$C$8:$I$14,MATCH($B12,'Rates v2 (do not delete)'!$B$8:$B$14,0),MATCH($D12,'Rates v2 (do not delete)'!$C$7:$I$7,0))*VLOOKUP($D12,Rates!$B$39:$D$45,3,0)*K$8)*(1-0.10948905109489)*0.1), ((INDEX('Rates v2 (do not delete)'!$C$8:$I$14,MATCH($B12,'Rates v2 (do not delete)'!$B$8:$B$14,0),MATCH($D12,'Rates v2 (do not delete)'!$C$7:$I$7,0))*K$8)+((N12)*0.05)+(INDEX('Rates v2 (do not delete)'!$C$8:$I$14,MATCH($B12,'Rates v2 (do not delete)'!$B$8:$B$14,0),MATCH($D12,'Rates v2 (do not delete)'!$C$7:$I$7,0))*K$8)*(1-0.10948905109489)*0.1))),"")</f>
        <v>678.01512408759118</v>
      </c>
      <c r="Y12" s="63">
        <f t="shared" si="5"/>
        <v>17628.393226277371</v>
      </c>
      <c r="Z12" s="64">
        <f t="shared" si="6"/>
        <v>0.67713565519638508</v>
      </c>
    </row>
    <row r="13" spans="2:29">
      <c r="B13" s="76" t="str">
        <f>IF('INPUT - Weekly Breakdown'!B12="","",'INPUT - Weekly Breakdown'!B12)</f>
        <v>BC - Consultant</v>
      </c>
      <c r="C13" s="76" t="str">
        <f>IF('INPUT - Weekly Breakdown'!C12="","",'INPUT - Weekly Breakdown'!C12)</f>
        <v>Staff 3</v>
      </c>
      <c r="D13" s="77" t="s">
        <v>8</v>
      </c>
      <c r="E13" s="78">
        <f>IF($B13="","",IF(F$8="Hours",VLOOKUP($B13,Rates!$B$28:$I$34,Rates!C$47,FALSE),VLOOKUP($B13,Rates!$B$16:$I$22,Rates!$C$47,FALSE)))</f>
        <v>1800</v>
      </c>
      <c r="F13" s="79">
        <f>IF(B13="","",IF(F$8="Hours", 'INPUT - Weekly Breakdown'!D12, 'INPUT - Weekly Breakdown'!D12))</f>
        <v>18</v>
      </c>
      <c r="G13" s="120">
        <f t="shared" si="7"/>
        <v>144</v>
      </c>
      <c r="H13" s="78">
        <f t="shared" si="0"/>
        <v>32400</v>
      </c>
      <c r="I13" s="80"/>
      <c r="J13" s="78">
        <f t="shared" si="8"/>
        <v>0</v>
      </c>
      <c r="K13" s="78">
        <f t="shared" si="1"/>
        <v>32400</v>
      </c>
      <c r="L13" s="78">
        <f t="shared" si="2"/>
        <v>1800</v>
      </c>
      <c r="M13" s="111"/>
      <c r="N13" s="118">
        <f t="shared" si="9"/>
        <v>1800</v>
      </c>
      <c r="O13" s="121">
        <f t="shared" si="10"/>
        <v>225</v>
      </c>
      <c r="P13" s="78">
        <f t="shared" si="11"/>
        <v>32400</v>
      </c>
      <c r="Q13" s="65"/>
      <c r="R13" s="78">
        <f>IF(B13="","",IF(F$8="Hours", VLOOKUP(B13,Rates!$B$5:$C$11,2,FALSE), VLOOKUP(B13,Rates!$B$5:$C$11,2,FALSE)*8))</f>
        <v>2200</v>
      </c>
      <c r="S13" s="114">
        <f>IF(B13="","",(L13*VLOOKUP(C$8,Rates!$B$39:$D$45,3,0)-R13))</f>
        <v>194</v>
      </c>
      <c r="T13" s="65"/>
      <c r="U13" s="78">
        <f t="shared" si="3"/>
        <v>180</v>
      </c>
      <c r="V13" s="78">
        <f t="shared" si="4"/>
        <v>3240</v>
      </c>
      <c r="W13" s="43"/>
      <c r="X13" s="63">
        <f>IFERROR(IF(F$8="Hours", IF($D13&lt;&gt;C$8, (((INDEX('Rates v2 (do not delete)'!$C$8:$I$14,MATCH('OUTPUT - Pricing model'!$B13,'Rates v2 (do not delete)'!$B$8:$B$14,0),MATCH('OUTPUT - Pricing model'!$D13,'Rates v2 (do not delete)'!$C$7:$I$7,0)))*VLOOKUP($D13,Rates!$B$39:$D$45,3,0))+((O13)*0.05)+(INDEX('Rates v2 (do not delete)'!$C$8:$I$14,MATCH('OUTPUT - Pricing model'!$B13,'Rates v2 (do not delete)'!$B$8:$B$14,0),MATCH('OUTPUT - Pricing model'!$D13,'Rates v2 (do not delete)'!$C$7:$I$7,0))*VLOOKUP($D13,Rates!$B$39:$D$45,3,0))*(1-0.10948905109489)*0.1), ((INDEX('Rates v2 (do not delete)'!$C$8:$I$14,MATCH('OUTPUT - Pricing model'!$B13,'Rates v2 (do not delete)'!$B$8:$B$14,0),MATCH('OUTPUT - Pricing model'!$D13,'Rates v2 (do not delete)'!$C$7:$I$7,0)))+((O13)*0.05)+(INDEX('Rates v2 (do not delete)'!$C$8:$I$14,MATCH('OUTPUT - Pricing model'!$B13,'Rates v2 (do not delete)'!$B$8:$B$14,0),MATCH('OUTPUT - Pricing model'!$D13,'Rates v2 (do not delete)'!$C$7:$I$7,0)))*(1-0.10948905109489)*0.1)),
IF($D13&lt;&gt;C$8, (((INDEX('Rates v2 (do not delete)'!$C$8:$I$14,MATCH($B13,'Rates v2 (do not delete)'!$B$8:$B$14,0),MATCH($D13,'Rates v2 (do not delete)'!$C$7:$I$7,0)))*VLOOKUP($D13,Rates!$B$39:$D$45,3,0)*K$8)+((N13)*0.05)+(INDEX('Rates v2 (do not delete)'!$C$8:$I$14,MATCH($B13,'Rates v2 (do not delete)'!$B$8:$B$14,0),MATCH($D13,'Rates v2 (do not delete)'!$C$7:$I$7,0))*VLOOKUP($D13,Rates!$B$39:$D$45,3,0)*K$8)*(1-0.10948905109489)*0.1), ((INDEX('Rates v2 (do not delete)'!$C$8:$I$14,MATCH($B13,'Rates v2 (do not delete)'!$B$8:$B$14,0),MATCH($D13,'Rates v2 (do not delete)'!$C$7:$I$7,0))*K$8)+((N13)*0.05)+(INDEX('Rates v2 (do not delete)'!$C$8:$I$14,MATCH($B13,'Rates v2 (do not delete)'!$B$8:$B$14,0),MATCH($D13,'Rates v2 (do not delete)'!$C$7:$I$7,0))*K$8)*(1-0.10948905109489)*0.1))),"")</f>
        <v>511.76770802919708</v>
      </c>
      <c r="Y13" s="63">
        <f t="shared" si="5"/>
        <v>9211.818744525548</v>
      </c>
      <c r="Z13" s="64">
        <f t="shared" si="6"/>
        <v>0.71568460665044609</v>
      </c>
    </row>
    <row r="14" spans="2:29">
      <c r="B14" s="76" t="str">
        <f>IF('INPUT - Weekly Breakdown'!B13="","",'INPUT - Weekly Breakdown'!B13)</f>
        <v>BC - Consultant</v>
      </c>
      <c r="C14" s="76" t="str">
        <f>IF('INPUT - Weekly Breakdown'!C13="","",'INPUT - Weekly Breakdown'!C13)</f>
        <v/>
      </c>
      <c r="D14" s="77" t="s">
        <v>8</v>
      </c>
      <c r="E14" s="78">
        <f>IF($B14="","",IF(F$8="Hours",VLOOKUP($B14,Rates!$B$28:$I$34,Rates!C$47,FALSE),VLOOKUP($B14,Rates!$B$16:$I$22,Rates!$C$47,FALSE)))</f>
        <v>1800</v>
      </c>
      <c r="F14" s="79">
        <f>IF(B14="","",IF(F$8="Hours", 'INPUT - Weekly Breakdown'!D13, 'INPUT - Weekly Breakdown'!D13))</f>
        <v>30</v>
      </c>
      <c r="G14" s="120">
        <f t="shared" si="7"/>
        <v>240</v>
      </c>
      <c r="H14" s="78">
        <f t="shared" si="0"/>
        <v>54000</v>
      </c>
      <c r="I14" s="80"/>
      <c r="J14" s="78">
        <f t="shared" si="8"/>
        <v>0</v>
      </c>
      <c r="K14" s="78">
        <f t="shared" si="1"/>
        <v>54000</v>
      </c>
      <c r="L14" s="78">
        <f t="shared" si="2"/>
        <v>1800</v>
      </c>
      <c r="M14" s="111"/>
      <c r="N14" s="118">
        <f t="shared" si="9"/>
        <v>1800</v>
      </c>
      <c r="O14" s="121">
        <f t="shared" si="10"/>
        <v>225</v>
      </c>
      <c r="P14" s="78">
        <f t="shared" si="11"/>
        <v>54000</v>
      </c>
      <c r="Q14" s="65"/>
      <c r="R14" s="78">
        <f>IF(B14="","",IF(F$8="Hours", VLOOKUP(B14,Rates!$B$5:$C$11,2,FALSE), VLOOKUP(B14,Rates!$B$5:$C$11,2,FALSE)*8))</f>
        <v>2200</v>
      </c>
      <c r="S14" s="114">
        <f>IF(B14="","",(L14*VLOOKUP(C$8,Rates!$B$39:$D$45,3,0)-R14))</f>
        <v>194</v>
      </c>
      <c r="T14" s="65"/>
      <c r="U14" s="78">
        <f t="shared" si="3"/>
        <v>180</v>
      </c>
      <c r="V14" s="78">
        <f t="shared" si="4"/>
        <v>5400</v>
      </c>
      <c r="W14" s="43"/>
      <c r="X14" s="63">
        <f>IFERROR(IF(F$8="Hours", IF($D14&lt;&gt;C$8, (((INDEX('Rates v2 (do not delete)'!$C$8:$I$14,MATCH('OUTPUT - Pricing model'!$B14,'Rates v2 (do not delete)'!$B$8:$B$14,0),MATCH('OUTPUT - Pricing model'!$D14,'Rates v2 (do not delete)'!$C$7:$I$7,0)))*VLOOKUP($D14,Rates!$B$39:$D$45,3,0))+((O14)*0.05)+(INDEX('Rates v2 (do not delete)'!$C$8:$I$14,MATCH('OUTPUT - Pricing model'!$B14,'Rates v2 (do not delete)'!$B$8:$B$14,0),MATCH('OUTPUT - Pricing model'!$D14,'Rates v2 (do not delete)'!$C$7:$I$7,0))*VLOOKUP($D14,Rates!$B$39:$D$45,3,0))*(1-0.10948905109489)*0.1), ((INDEX('Rates v2 (do not delete)'!$C$8:$I$14,MATCH('OUTPUT - Pricing model'!$B14,'Rates v2 (do not delete)'!$B$8:$B$14,0),MATCH('OUTPUT - Pricing model'!$D14,'Rates v2 (do not delete)'!$C$7:$I$7,0)))+((O14)*0.05)+(INDEX('Rates v2 (do not delete)'!$C$8:$I$14,MATCH('OUTPUT - Pricing model'!$B14,'Rates v2 (do not delete)'!$B$8:$B$14,0),MATCH('OUTPUT - Pricing model'!$D14,'Rates v2 (do not delete)'!$C$7:$I$7,0)))*(1-0.10948905109489)*0.1)),
IF($D14&lt;&gt;C$8, (((INDEX('Rates v2 (do not delete)'!$C$8:$I$14,MATCH($B14,'Rates v2 (do not delete)'!$B$8:$B$14,0),MATCH($D14,'Rates v2 (do not delete)'!$C$7:$I$7,0)))*VLOOKUP($D14,Rates!$B$39:$D$45,3,0)*K$8)+((N14)*0.05)+(INDEX('Rates v2 (do not delete)'!$C$8:$I$14,MATCH($B14,'Rates v2 (do not delete)'!$B$8:$B$14,0),MATCH($D14,'Rates v2 (do not delete)'!$C$7:$I$7,0))*VLOOKUP($D14,Rates!$B$39:$D$45,3,0)*K$8)*(1-0.10948905109489)*0.1), ((INDEX('Rates v2 (do not delete)'!$C$8:$I$14,MATCH($B14,'Rates v2 (do not delete)'!$B$8:$B$14,0),MATCH($D14,'Rates v2 (do not delete)'!$C$7:$I$7,0))*K$8)+((N14)*0.05)+(INDEX('Rates v2 (do not delete)'!$C$8:$I$14,MATCH($B14,'Rates v2 (do not delete)'!$B$8:$B$14,0),MATCH($D14,'Rates v2 (do not delete)'!$C$7:$I$7,0))*K$8)*(1-0.10948905109489)*0.1))),"")</f>
        <v>511.76770802919708</v>
      </c>
      <c r="Y14" s="63">
        <f t="shared" si="5"/>
        <v>15353.031240875913</v>
      </c>
      <c r="Z14" s="64">
        <f t="shared" si="6"/>
        <v>0.71568460665044609</v>
      </c>
      <c r="AA14" s="40"/>
      <c r="AB14" s="40"/>
    </row>
    <row r="15" spans="2:29">
      <c r="B15" s="112" t="str">
        <f>IF('INPUT - Weekly Breakdown'!B14="","",'INPUT - Weekly Breakdown'!B14)</f>
        <v/>
      </c>
      <c r="C15" s="76" t="str">
        <f>IF('INPUT - Weekly Breakdown'!C14="","",'INPUT - Weekly Breakdown'!C14)</f>
        <v/>
      </c>
      <c r="D15" s="77"/>
      <c r="E15" s="78" t="str">
        <f>IF($B15="","",IF(F$8="Hours",VLOOKUP($B15,Rates!$B$28:$I$34,Rates!C$47,FALSE),VLOOKUP($B15,Rates!$B$16:$I$22,Rates!$C$47,FALSE)))</f>
        <v/>
      </c>
      <c r="F15" s="79" t="str">
        <f>IF(B15="","",IF(F$8="Hours", 'INPUT - Weekly Breakdown'!D14, 'INPUT - Weekly Breakdown'!D14))</f>
        <v/>
      </c>
      <c r="G15" s="120" t="str">
        <f t="shared" si="7"/>
        <v/>
      </c>
      <c r="H15" s="113" t="str">
        <f t="shared" si="0"/>
        <v/>
      </c>
      <c r="I15" s="80"/>
      <c r="J15" s="78" t="str">
        <f t="shared" si="8"/>
        <v/>
      </c>
      <c r="K15" s="78" t="str">
        <f t="shared" si="1"/>
        <v/>
      </c>
      <c r="L15" s="78" t="str">
        <f t="shared" si="2"/>
        <v/>
      </c>
      <c r="M15" s="111"/>
      <c r="N15" s="118" t="str">
        <f t="shared" si="9"/>
        <v/>
      </c>
      <c r="O15" s="121" t="str">
        <f t="shared" si="10"/>
        <v/>
      </c>
      <c r="P15" s="78" t="str">
        <f t="shared" si="11"/>
        <v/>
      </c>
      <c r="Q15" s="65"/>
      <c r="R15" s="78" t="str">
        <f>IF(B15="","",IF(F$8="Hours", VLOOKUP(B15,Rates!$B$5:$C$11,2,FALSE), VLOOKUP(B15,Rates!$B$5:$C$11,2,FALSE)*8))</f>
        <v/>
      </c>
      <c r="S15" s="114" t="str">
        <f>IF(B15="","",(L15*VLOOKUP(C$8,Rates!$B$39:$D$45,3,0)-R15))</f>
        <v/>
      </c>
      <c r="T15" s="65"/>
      <c r="U15" s="78" t="str">
        <f t="shared" si="3"/>
        <v/>
      </c>
      <c r="V15" s="78" t="str">
        <f t="shared" si="4"/>
        <v/>
      </c>
      <c r="W15" s="43"/>
      <c r="X15" s="63" t="str">
        <f>IFERROR(IF(F$8="Hours", IF($D15&lt;&gt;C$8, (((INDEX('Rates v2 (do not delete)'!$C$8:$I$14,MATCH('OUTPUT - Pricing model'!$B15,'Rates v2 (do not delete)'!$B$8:$B$14,0),MATCH('OUTPUT - Pricing model'!$D15,'Rates v2 (do not delete)'!$C$7:$I$7,0)))*VLOOKUP($D15,Rates!$B$39:$D$45,3,0))+((O15)*0.05)+(INDEX('Rates v2 (do not delete)'!$C$8:$I$14,MATCH('OUTPUT - Pricing model'!$B15,'Rates v2 (do not delete)'!$B$8:$B$14,0),MATCH('OUTPUT - Pricing model'!$D15,'Rates v2 (do not delete)'!$C$7:$I$7,0))*VLOOKUP($D15,Rates!$B$39:$D$45,3,0))*(1-0.10948905109489)*0.1), ((INDEX('Rates v2 (do not delete)'!$C$8:$I$14,MATCH('OUTPUT - Pricing model'!$B15,'Rates v2 (do not delete)'!$B$8:$B$14,0),MATCH('OUTPUT - Pricing model'!$D15,'Rates v2 (do not delete)'!$C$7:$I$7,0)))+((O15)*0.05)+(INDEX('Rates v2 (do not delete)'!$C$8:$I$14,MATCH('OUTPUT - Pricing model'!$B15,'Rates v2 (do not delete)'!$B$8:$B$14,0),MATCH('OUTPUT - Pricing model'!$D15,'Rates v2 (do not delete)'!$C$7:$I$7,0)))*(1-0.10948905109489)*0.1)),
IF($D15&lt;&gt;C$8, (((INDEX('Rates v2 (do not delete)'!$C$8:$I$14,MATCH($B15,'Rates v2 (do not delete)'!$B$8:$B$14,0),MATCH($D15,'Rates v2 (do not delete)'!$C$7:$I$7,0)))*VLOOKUP($D15,Rates!$B$39:$D$45,3,0)*K$8)+((N15)*0.05)+(INDEX('Rates v2 (do not delete)'!$C$8:$I$14,MATCH($B15,'Rates v2 (do not delete)'!$B$8:$B$14,0),MATCH($D15,'Rates v2 (do not delete)'!$C$7:$I$7,0))*VLOOKUP($D15,Rates!$B$39:$D$45,3,0)*K$8)*(1-0.10948905109489)*0.1), ((INDEX('Rates v2 (do not delete)'!$C$8:$I$14,MATCH($B15,'Rates v2 (do not delete)'!$B$8:$B$14,0),MATCH($D15,'Rates v2 (do not delete)'!$C$7:$I$7,0))*K$8)+((N15)*0.05)+(INDEX('Rates v2 (do not delete)'!$C$8:$I$14,MATCH($B15,'Rates v2 (do not delete)'!$B$8:$B$14,0),MATCH($D15,'Rates v2 (do not delete)'!$C$7:$I$7,0))*K$8)*(1-0.10948905109489)*0.1))),"")</f>
        <v/>
      </c>
      <c r="Y15" s="63" t="str">
        <f t="shared" si="5"/>
        <v/>
      </c>
      <c r="Z15" s="64" t="str">
        <f t="shared" si="6"/>
        <v/>
      </c>
    </row>
    <row r="16" spans="2:29">
      <c r="B16" s="76" t="str">
        <f>IF('INPUT - Weekly Breakdown'!B15="","",'INPUT - Weekly Breakdown'!B15)</f>
        <v>Services - Architect</v>
      </c>
      <c r="C16" s="76" t="str">
        <f>IF('INPUT - Weekly Breakdown'!C15="","",'INPUT - Weekly Breakdown'!C15)</f>
        <v/>
      </c>
      <c r="D16" s="77" t="s">
        <v>25</v>
      </c>
      <c r="E16" s="78">
        <f>IF($B16="","",IF(F$8="Hours",VLOOKUP($B16,Rates!$B$28:$I$34,Rates!C$47,FALSE),VLOOKUP($B16,Rates!$B$16:$I$22,Rates!$C$47,FALSE)))</f>
        <v>1551</v>
      </c>
      <c r="F16" s="79">
        <f>IF(B16="","",IF(F$8="Hours", 'INPUT - Weekly Breakdown'!D15, 'INPUT - Weekly Breakdown'!D15))</f>
        <v>34</v>
      </c>
      <c r="G16" s="120">
        <f t="shared" si="7"/>
        <v>272</v>
      </c>
      <c r="H16" s="78">
        <f t="shared" si="0"/>
        <v>52734</v>
      </c>
      <c r="I16" s="80"/>
      <c r="J16" s="78">
        <f t="shared" si="8"/>
        <v>0</v>
      </c>
      <c r="K16" s="78">
        <f t="shared" si="1"/>
        <v>52734</v>
      </c>
      <c r="L16" s="78">
        <f t="shared" si="2"/>
        <v>1551</v>
      </c>
      <c r="M16" s="111"/>
      <c r="N16" s="118">
        <f t="shared" si="9"/>
        <v>1551</v>
      </c>
      <c r="O16" s="121">
        <f t="shared" si="10"/>
        <v>193.875</v>
      </c>
      <c r="P16" s="78">
        <f t="shared" si="11"/>
        <v>52734</v>
      </c>
      <c r="Q16" s="65"/>
      <c r="R16" s="78">
        <f>IF(B16="","",IF(F$8="Hours", VLOOKUP(B16,Rates!$B$5:$C$11,2,FALSE), VLOOKUP(B16,Rates!$B$5:$C$11,2,FALSE)*8))</f>
        <v>1440</v>
      </c>
      <c r="S16" s="78">
        <f>IF(B16="","",(L16*VLOOKUP(C$8,Rates!$B$39:$D$45,3,0)-R16))</f>
        <v>622.82999999999993</v>
      </c>
      <c r="T16" s="65"/>
      <c r="U16" s="78">
        <f t="shared" si="3"/>
        <v>155.10000000000002</v>
      </c>
      <c r="V16" s="78">
        <f t="shared" si="4"/>
        <v>5273.4000000000005</v>
      </c>
      <c r="W16" s="43"/>
      <c r="X16" s="63">
        <f>IFERROR(IF(F$8="Hours", IF($D16&lt;&gt;C$8, (((INDEX('Rates v2 (do not delete)'!$C$8:$I$14,MATCH('OUTPUT - Pricing model'!$B16,'Rates v2 (do not delete)'!$B$8:$B$14,0),MATCH('OUTPUT - Pricing model'!$D16,'Rates v2 (do not delete)'!$C$7:$I$7,0)))*VLOOKUP($D16,Rates!$B$39:$D$45,3,0))+((O16)*0.05)+(INDEX('Rates v2 (do not delete)'!$C$8:$I$14,MATCH('OUTPUT - Pricing model'!$B16,'Rates v2 (do not delete)'!$B$8:$B$14,0),MATCH('OUTPUT - Pricing model'!$D16,'Rates v2 (do not delete)'!$C$7:$I$7,0))*VLOOKUP($D16,Rates!$B$39:$D$45,3,0))*(1-0.10948905109489)*0.1), ((INDEX('Rates v2 (do not delete)'!$C$8:$I$14,MATCH('OUTPUT - Pricing model'!$B16,'Rates v2 (do not delete)'!$B$8:$B$14,0),MATCH('OUTPUT - Pricing model'!$D16,'Rates v2 (do not delete)'!$C$7:$I$7,0)))+((O16)*0.05)+(INDEX('Rates v2 (do not delete)'!$C$8:$I$14,MATCH('OUTPUT - Pricing model'!$B16,'Rates v2 (do not delete)'!$B$8:$B$14,0),MATCH('OUTPUT - Pricing model'!$D16,'Rates v2 (do not delete)'!$C$7:$I$7,0)))*(1-0.10948905109489)*0.1)),
IF($D16&lt;&gt;C$8, (((INDEX('Rates v2 (do not delete)'!$C$8:$I$14,MATCH($B16,'Rates v2 (do not delete)'!$B$8:$B$14,0),MATCH($D16,'Rates v2 (do not delete)'!$C$7:$I$7,0)))*VLOOKUP($D16,Rates!$B$39:$D$45,3,0)*K$8)+((N16)*0.05)+(INDEX('Rates v2 (do not delete)'!$C$8:$I$14,MATCH($B16,'Rates v2 (do not delete)'!$B$8:$B$14,0),MATCH($D16,'Rates v2 (do not delete)'!$C$7:$I$7,0))*VLOOKUP($D16,Rates!$B$39:$D$45,3,0)*K$8)*(1-0.10948905109489)*0.1), ((INDEX('Rates v2 (do not delete)'!$C$8:$I$14,MATCH($B16,'Rates v2 (do not delete)'!$B$8:$B$14,0),MATCH($D16,'Rates v2 (do not delete)'!$C$7:$I$7,0))*K$8)+((N16)*0.05)+(INDEX('Rates v2 (do not delete)'!$C$8:$I$14,MATCH($B16,'Rates v2 (do not delete)'!$B$8:$B$14,0),MATCH($D16,'Rates v2 (do not delete)'!$C$7:$I$7,0))*K$8)*(1-0.10948905109489)*0.1))),"")</f>
        <v>655.35782014598533</v>
      </c>
      <c r="Y16" s="63">
        <f t="shared" si="5"/>
        <v>22282.165884963502</v>
      </c>
      <c r="Z16" s="64">
        <f t="shared" si="6"/>
        <v>0.57746110886783664</v>
      </c>
    </row>
    <row r="17" spans="2:26">
      <c r="B17" s="76" t="str">
        <f>IF('INPUT - Weekly Breakdown'!B16="","",'INPUT - Weekly Breakdown'!B16)</f>
        <v>Services - Architect</v>
      </c>
      <c r="C17" s="76" t="str">
        <f>IF('INPUT - Weekly Breakdown'!C16="","",'INPUT - Weekly Breakdown'!C16)</f>
        <v/>
      </c>
      <c r="D17" s="77" t="s">
        <v>25</v>
      </c>
      <c r="E17" s="78">
        <f>IF($B17="","",IF(F$8="Hours",VLOOKUP($B17,Rates!$B$28:$I$34,Rates!C$47,FALSE),VLOOKUP($B17,Rates!$B$16:$I$22,Rates!$C$47,FALSE)))</f>
        <v>1551</v>
      </c>
      <c r="F17" s="79">
        <f>IF(B17="","",IF(F$8="Hours", 'INPUT - Weekly Breakdown'!D16, 'INPUT - Weekly Breakdown'!D16))</f>
        <v>30</v>
      </c>
      <c r="G17" s="120">
        <f t="shared" si="7"/>
        <v>240</v>
      </c>
      <c r="H17" s="78">
        <f t="shared" si="0"/>
        <v>46530</v>
      </c>
      <c r="I17" s="80"/>
      <c r="J17" s="78">
        <f t="shared" si="8"/>
        <v>0</v>
      </c>
      <c r="K17" s="78">
        <f t="shared" si="1"/>
        <v>46530</v>
      </c>
      <c r="L17" s="78">
        <f t="shared" si="2"/>
        <v>1551</v>
      </c>
      <c r="M17" s="111"/>
      <c r="N17" s="118">
        <f t="shared" si="9"/>
        <v>1551</v>
      </c>
      <c r="O17" s="121">
        <f t="shared" si="10"/>
        <v>193.875</v>
      </c>
      <c r="P17" s="78">
        <f t="shared" si="11"/>
        <v>46530</v>
      </c>
      <c r="Q17" s="65"/>
      <c r="R17" s="78">
        <f>IF(B17="","",IF(F$8="Hours", VLOOKUP(B17,Rates!$B$5:$C$11,2,FALSE), VLOOKUP(B17,Rates!$B$5:$C$11,2,FALSE)*8))</f>
        <v>1440</v>
      </c>
      <c r="S17" s="78">
        <f>IF(B17="","",(L17*VLOOKUP(C$8,Rates!$B$39:$D$45,3,0)-R17))</f>
        <v>622.82999999999993</v>
      </c>
      <c r="T17" s="65"/>
      <c r="U17" s="78">
        <f t="shared" si="3"/>
        <v>155.10000000000002</v>
      </c>
      <c r="V17" s="78">
        <f t="shared" si="4"/>
        <v>4653.0000000000009</v>
      </c>
      <c r="W17" s="43"/>
      <c r="X17" s="63">
        <f>IFERROR(IF(F$8="Hours", IF($D17&lt;&gt;C$8, (((INDEX('Rates v2 (do not delete)'!$C$8:$I$14,MATCH('OUTPUT - Pricing model'!$B17,'Rates v2 (do not delete)'!$B$8:$B$14,0),MATCH('OUTPUT - Pricing model'!$D17,'Rates v2 (do not delete)'!$C$7:$I$7,0)))*VLOOKUP($D17,Rates!$B$39:$D$45,3,0))+((O17)*0.05)+(INDEX('Rates v2 (do not delete)'!$C$8:$I$14,MATCH('OUTPUT - Pricing model'!$B17,'Rates v2 (do not delete)'!$B$8:$B$14,0),MATCH('OUTPUT - Pricing model'!$D17,'Rates v2 (do not delete)'!$C$7:$I$7,0))*VLOOKUP($D17,Rates!$B$39:$D$45,3,0))*(1-0.10948905109489)*0.1), ((INDEX('Rates v2 (do not delete)'!$C$8:$I$14,MATCH('OUTPUT - Pricing model'!$B17,'Rates v2 (do not delete)'!$B$8:$B$14,0),MATCH('OUTPUT - Pricing model'!$D17,'Rates v2 (do not delete)'!$C$7:$I$7,0)))+((O17)*0.05)+(INDEX('Rates v2 (do not delete)'!$C$8:$I$14,MATCH('OUTPUT - Pricing model'!$B17,'Rates v2 (do not delete)'!$B$8:$B$14,0),MATCH('OUTPUT - Pricing model'!$D17,'Rates v2 (do not delete)'!$C$7:$I$7,0)))*(1-0.10948905109489)*0.1)),
IF($D17&lt;&gt;C$8, (((INDEX('Rates v2 (do not delete)'!$C$8:$I$14,MATCH($B17,'Rates v2 (do not delete)'!$B$8:$B$14,0),MATCH($D17,'Rates v2 (do not delete)'!$C$7:$I$7,0)))*VLOOKUP($D17,Rates!$B$39:$D$45,3,0)*K$8)+((N17)*0.05)+(INDEX('Rates v2 (do not delete)'!$C$8:$I$14,MATCH($B17,'Rates v2 (do not delete)'!$B$8:$B$14,0),MATCH($D17,'Rates v2 (do not delete)'!$C$7:$I$7,0))*VLOOKUP($D17,Rates!$B$39:$D$45,3,0)*K$8)*(1-0.10948905109489)*0.1), ((INDEX('Rates v2 (do not delete)'!$C$8:$I$14,MATCH($B17,'Rates v2 (do not delete)'!$B$8:$B$14,0),MATCH($D17,'Rates v2 (do not delete)'!$C$7:$I$7,0))*K$8)+((N17)*0.05)+(INDEX('Rates v2 (do not delete)'!$C$8:$I$14,MATCH($B17,'Rates v2 (do not delete)'!$B$8:$B$14,0),MATCH($D17,'Rates v2 (do not delete)'!$C$7:$I$7,0))*K$8)*(1-0.10948905109489)*0.1))),"")</f>
        <v>655.35782014598533</v>
      </c>
      <c r="Y17" s="63">
        <f t="shared" si="5"/>
        <v>19660.734604379559</v>
      </c>
      <c r="Z17" s="64">
        <f t="shared" si="6"/>
        <v>0.57746110886783664</v>
      </c>
    </row>
    <row r="18" spans="2:26">
      <c r="B18" s="76" t="str">
        <f>IF('INPUT - Weekly Breakdown'!B17="","",'INPUT - Weekly Breakdown'!B17)</f>
        <v/>
      </c>
      <c r="C18" s="76" t="str">
        <f>IF('INPUT - Weekly Breakdown'!C17="","",'INPUT - Weekly Breakdown'!C17)</f>
        <v/>
      </c>
      <c r="D18" s="77"/>
      <c r="E18" s="78" t="str">
        <f>IF($B18="","",IF(F$8="Hours",VLOOKUP($B18,Rates!$B$28:$I$34,Rates!C$47,FALSE),VLOOKUP($B18,Rates!$B$16:$I$22,Rates!$C$47,FALSE)))</f>
        <v/>
      </c>
      <c r="F18" s="79" t="str">
        <f>IF(B18="","",IF(F$8="Hours", 'INPUT - Weekly Breakdown'!D17, 'INPUT - Weekly Breakdown'!D17))</f>
        <v/>
      </c>
      <c r="G18" s="120" t="str">
        <f t="shared" si="7"/>
        <v/>
      </c>
      <c r="H18" s="78" t="str">
        <f t="shared" si="0"/>
        <v/>
      </c>
      <c r="I18" s="80"/>
      <c r="J18" s="78" t="str">
        <f t="shared" si="8"/>
        <v/>
      </c>
      <c r="K18" s="78" t="str">
        <f t="shared" si="1"/>
        <v/>
      </c>
      <c r="L18" s="78" t="str">
        <f t="shared" si="2"/>
        <v/>
      </c>
      <c r="M18" s="111"/>
      <c r="N18" s="118" t="str">
        <f t="shared" si="9"/>
        <v/>
      </c>
      <c r="O18" s="121" t="str">
        <f t="shared" si="10"/>
        <v/>
      </c>
      <c r="P18" s="78" t="str">
        <f t="shared" si="11"/>
        <v/>
      </c>
      <c r="Q18" s="65"/>
      <c r="R18" s="78" t="str">
        <f>IF(B18="","",IF(F$8="Hours", VLOOKUP(B18,Rates!$B$5:$C$11,2,FALSE), VLOOKUP(B18,Rates!$B$5:$C$11,2,FALSE)*8))</f>
        <v/>
      </c>
      <c r="S18" s="78" t="str">
        <f>IF(B18="","",(L18*VLOOKUP(C$8,Rates!$B$39:$D$45,3,0)-R18))</f>
        <v/>
      </c>
      <c r="T18" s="65"/>
      <c r="U18" s="78" t="str">
        <f t="shared" si="3"/>
        <v/>
      </c>
      <c r="V18" s="78" t="str">
        <f t="shared" si="4"/>
        <v/>
      </c>
      <c r="W18" s="43"/>
      <c r="X18" s="63" t="str">
        <f>IFERROR(IF(F$8="Hours", IF($D18&lt;&gt;C$8, (((INDEX('Rates v2 (do not delete)'!$C$8:$I$14,MATCH('OUTPUT - Pricing model'!$B18,'Rates v2 (do not delete)'!$B$8:$B$14,0),MATCH('OUTPUT - Pricing model'!$D18,'Rates v2 (do not delete)'!$C$7:$I$7,0)))*VLOOKUP($D18,Rates!$B$39:$D$45,3,0))+((O18)*0.05)+(INDEX('Rates v2 (do not delete)'!$C$8:$I$14,MATCH('OUTPUT - Pricing model'!$B18,'Rates v2 (do not delete)'!$B$8:$B$14,0),MATCH('OUTPUT - Pricing model'!$D18,'Rates v2 (do not delete)'!$C$7:$I$7,0))*VLOOKUP($D18,Rates!$B$39:$D$45,3,0))*(1-0.10948905109489)*0.1), ((INDEX('Rates v2 (do not delete)'!$C$8:$I$14,MATCH('OUTPUT - Pricing model'!$B18,'Rates v2 (do not delete)'!$B$8:$B$14,0),MATCH('OUTPUT - Pricing model'!$D18,'Rates v2 (do not delete)'!$C$7:$I$7,0)))+((O18)*0.05)+(INDEX('Rates v2 (do not delete)'!$C$8:$I$14,MATCH('OUTPUT - Pricing model'!$B18,'Rates v2 (do not delete)'!$B$8:$B$14,0),MATCH('OUTPUT - Pricing model'!$D18,'Rates v2 (do not delete)'!$C$7:$I$7,0)))*(1-0.10948905109489)*0.1)),
IF($D18&lt;&gt;C$8, (((INDEX('Rates v2 (do not delete)'!$C$8:$I$14,MATCH($B18,'Rates v2 (do not delete)'!$B$8:$B$14,0),MATCH($D18,'Rates v2 (do not delete)'!$C$7:$I$7,0)))*VLOOKUP($D18,Rates!$B$39:$D$45,3,0)*K$8)+((N18)*0.05)+(INDEX('Rates v2 (do not delete)'!$C$8:$I$14,MATCH($B18,'Rates v2 (do not delete)'!$B$8:$B$14,0),MATCH($D18,'Rates v2 (do not delete)'!$C$7:$I$7,0))*VLOOKUP($D18,Rates!$B$39:$D$45,3,0)*K$8)*(1-0.10948905109489)*0.1), ((INDEX('Rates v2 (do not delete)'!$C$8:$I$14,MATCH($B18,'Rates v2 (do not delete)'!$B$8:$B$14,0),MATCH($D18,'Rates v2 (do not delete)'!$C$7:$I$7,0))*K$8)+((N18)*0.05)+(INDEX('Rates v2 (do not delete)'!$C$8:$I$14,MATCH($B18,'Rates v2 (do not delete)'!$B$8:$B$14,0),MATCH($D18,'Rates v2 (do not delete)'!$C$7:$I$7,0))*K$8)*(1-0.10948905109489)*0.1))),"")</f>
        <v/>
      </c>
      <c r="Y18" s="63" t="str">
        <f t="shared" si="5"/>
        <v/>
      </c>
      <c r="Z18" s="64" t="str">
        <f t="shared" si="6"/>
        <v/>
      </c>
    </row>
    <row r="19" spans="2:26">
      <c r="B19" s="76" t="str">
        <f>IF('INPUT - Weekly Breakdown'!B18="","",'INPUT - Weekly Breakdown'!B18)</f>
        <v/>
      </c>
      <c r="C19" s="76" t="str">
        <f>IF('INPUT - Weekly Breakdown'!C18="","",'INPUT - Weekly Breakdown'!C18)</f>
        <v/>
      </c>
      <c r="D19" s="77"/>
      <c r="E19" s="78" t="str">
        <f>IF($B19="","",IF(F$8="Hours",VLOOKUP($B19,Rates!$B$28:$I$34,Rates!C$47,FALSE),VLOOKUP($B19,Rates!$B$16:$I$22,Rates!$C$47,FALSE)))</f>
        <v/>
      </c>
      <c r="F19" s="79" t="str">
        <f>IF(B19="","",IF(F$8="Hours", 'INPUT - Weekly Breakdown'!D18, 'INPUT - Weekly Breakdown'!D18))</f>
        <v/>
      </c>
      <c r="G19" s="120" t="str">
        <f t="shared" si="7"/>
        <v/>
      </c>
      <c r="H19" s="78" t="str">
        <f t="shared" si="0"/>
        <v/>
      </c>
      <c r="I19" s="80"/>
      <c r="J19" s="78" t="str">
        <f t="shared" si="8"/>
        <v/>
      </c>
      <c r="K19" s="78" t="str">
        <f t="shared" si="1"/>
        <v/>
      </c>
      <c r="L19" s="78" t="str">
        <f t="shared" si="2"/>
        <v/>
      </c>
      <c r="M19" s="111"/>
      <c r="N19" s="118" t="str">
        <f t="shared" si="9"/>
        <v/>
      </c>
      <c r="O19" s="121" t="str">
        <f t="shared" si="10"/>
        <v/>
      </c>
      <c r="P19" s="78" t="str">
        <f t="shared" si="11"/>
        <v/>
      </c>
      <c r="Q19" s="65"/>
      <c r="R19" s="78" t="str">
        <f>IF(B19="","",IF(F$8="Hours", VLOOKUP(B19,Rates!$B$5:$C$11,2,FALSE), VLOOKUP(B19,Rates!$B$5:$C$11,2,FALSE)*8))</f>
        <v/>
      </c>
      <c r="S19" s="78" t="str">
        <f>IF(B19="","",(L19*VLOOKUP(C$8,Rates!$B$39:$D$45,3,0)-R19))</f>
        <v/>
      </c>
      <c r="T19" s="65"/>
      <c r="U19" s="78" t="str">
        <f t="shared" si="3"/>
        <v/>
      </c>
      <c r="V19" s="78" t="str">
        <f t="shared" si="4"/>
        <v/>
      </c>
      <c r="W19" s="43"/>
      <c r="X19" s="63" t="str">
        <f>IFERROR(IF(F$8="Hours", IF($D19&lt;&gt;C$8, (((INDEX('Rates v2 (do not delete)'!$C$8:$I$14,MATCH('OUTPUT - Pricing model'!$B19,'Rates v2 (do not delete)'!$B$8:$B$14,0),MATCH('OUTPUT - Pricing model'!$D19,'Rates v2 (do not delete)'!$C$7:$I$7,0)))*VLOOKUP($D19,Rates!$B$39:$D$45,3,0))+((O19)*0.05)+(INDEX('Rates v2 (do not delete)'!$C$8:$I$14,MATCH('OUTPUT - Pricing model'!$B19,'Rates v2 (do not delete)'!$B$8:$B$14,0),MATCH('OUTPUT - Pricing model'!$D19,'Rates v2 (do not delete)'!$C$7:$I$7,0))*VLOOKUP($D19,Rates!$B$39:$D$45,3,0))*(1-0.10948905109489)*0.1), ((INDEX('Rates v2 (do not delete)'!$C$8:$I$14,MATCH('OUTPUT - Pricing model'!$B19,'Rates v2 (do not delete)'!$B$8:$B$14,0),MATCH('OUTPUT - Pricing model'!$D19,'Rates v2 (do not delete)'!$C$7:$I$7,0)))+((O19)*0.05)+(INDEX('Rates v2 (do not delete)'!$C$8:$I$14,MATCH('OUTPUT - Pricing model'!$B19,'Rates v2 (do not delete)'!$B$8:$B$14,0),MATCH('OUTPUT - Pricing model'!$D19,'Rates v2 (do not delete)'!$C$7:$I$7,0)))*(1-0.10948905109489)*0.1)),
IF($D19&lt;&gt;C$8, (((INDEX('Rates v2 (do not delete)'!$C$8:$I$14,MATCH($B19,'Rates v2 (do not delete)'!$B$8:$B$14,0),MATCH($D19,'Rates v2 (do not delete)'!$C$7:$I$7,0)))*VLOOKUP($D19,Rates!$B$39:$D$45,3,0)*K$8)+((N19)*0.05)+(INDEX('Rates v2 (do not delete)'!$C$8:$I$14,MATCH($B19,'Rates v2 (do not delete)'!$B$8:$B$14,0),MATCH($D19,'Rates v2 (do not delete)'!$C$7:$I$7,0))*VLOOKUP($D19,Rates!$B$39:$D$45,3,0)*K$8)*(1-0.10948905109489)*0.1), ((INDEX('Rates v2 (do not delete)'!$C$8:$I$14,MATCH($B19,'Rates v2 (do not delete)'!$B$8:$B$14,0),MATCH($D19,'Rates v2 (do not delete)'!$C$7:$I$7,0))*K$8)+((N19)*0.05)+(INDEX('Rates v2 (do not delete)'!$C$8:$I$14,MATCH($B19,'Rates v2 (do not delete)'!$B$8:$B$14,0),MATCH($D19,'Rates v2 (do not delete)'!$C$7:$I$7,0))*K$8)*(1-0.10948905109489)*0.1))),"")</f>
        <v/>
      </c>
      <c r="Y19" s="63" t="str">
        <f t="shared" si="5"/>
        <v/>
      </c>
      <c r="Z19" s="64" t="str">
        <f t="shared" si="6"/>
        <v/>
      </c>
    </row>
    <row r="20" spans="2:26">
      <c r="B20" s="76" t="str">
        <f>IF('INPUT - Weekly Breakdown'!B19="","",'INPUT - Weekly Breakdown'!B19)</f>
        <v/>
      </c>
      <c r="C20" s="76" t="str">
        <f>IF('INPUT - Weekly Breakdown'!C19="","",'INPUT - Weekly Breakdown'!C19)</f>
        <v/>
      </c>
      <c r="D20" s="77"/>
      <c r="E20" s="78" t="str">
        <f>IF($B20="","",IF(F$8="Hours",VLOOKUP($B20,Rates!$B$28:$I$34,Rates!C$47,FALSE),VLOOKUP($B20,Rates!$B$16:$I$22,Rates!$C$47,FALSE)))</f>
        <v/>
      </c>
      <c r="F20" s="79" t="str">
        <f>IF(B20="","",IF(F$8="Hours", 'INPUT - Weekly Breakdown'!D19, 'INPUT - Weekly Breakdown'!D19))</f>
        <v/>
      </c>
      <c r="G20" s="120" t="str">
        <f t="shared" si="7"/>
        <v/>
      </c>
      <c r="H20" s="78" t="str">
        <f t="shared" si="0"/>
        <v/>
      </c>
      <c r="I20" s="80"/>
      <c r="J20" s="78" t="str">
        <f t="shared" si="8"/>
        <v/>
      </c>
      <c r="K20" s="78" t="str">
        <f t="shared" si="1"/>
        <v/>
      </c>
      <c r="L20" s="78" t="str">
        <f t="shared" si="2"/>
        <v/>
      </c>
      <c r="M20" s="111"/>
      <c r="N20" s="118" t="str">
        <f t="shared" si="9"/>
        <v/>
      </c>
      <c r="O20" s="121" t="str">
        <f t="shared" si="10"/>
        <v/>
      </c>
      <c r="P20" s="78" t="str">
        <f t="shared" si="11"/>
        <v/>
      </c>
      <c r="Q20" s="65"/>
      <c r="R20" s="78" t="str">
        <f>IF(B20="","",IF(F$8="Hours", VLOOKUP(B20,Rates!$B$5:$C$11,2,FALSE), VLOOKUP(B20,Rates!$B$5:$C$11,2,FALSE)*8))</f>
        <v/>
      </c>
      <c r="S20" s="78" t="str">
        <f>IF(B20="","",(L20*VLOOKUP(C$8,Rates!$B$39:$D$45,3,0)-R20))</f>
        <v/>
      </c>
      <c r="T20" s="65"/>
      <c r="U20" s="78" t="str">
        <f t="shared" si="3"/>
        <v/>
      </c>
      <c r="V20" s="78" t="str">
        <f t="shared" si="4"/>
        <v/>
      </c>
      <c r="W20" s="43"/>
      <c r="X20" s="63" t="str">
        <f>IFERROR(IF(F$8="Hours", IF($D20&lt;&gt;C$8, (((INDEX('Rates v2 (do not delete)'!$C$8:$I$14,MATCH('OUTPUT - Pricing model'!$B20,'Rates v2 (do not delete)'!$B$8:$B$14,0),MATCH('OUTPUT - Pricing model'!$D20,'Rates v2 (do not delete)'!$C$7:$I$7,0)))*VLOOKUP($D20,Rates!$B$39:$D$45,3,0))+((O20)*0.05)+(INDEX('Rates v2 (do not delete)'!$C$8:$I$14,MATCH('OUTPUT - Pricing model'!$B20,'Rates v2 (do not delete)'!$B$8:$B$14,0),MATCH('OUTPUT - Pricing model'!$D20,'Rates v2 (do not delete)'!$C$7:$I$7,0))*VLOOKUP($D20,Rates!$B$39:$D$45,3,0))*(1-0.10948905109489)*0.1), ((INDEX('Rates v2 (do not delete)'!$C$8:$I$14,MATCH('OUTPUT - Pricing model'!$B20,'Rates v2 (do not delete)'!$B$8:$B$14,0),MATCH('OUTPUT - Pricing model'!$D20,'Rates v2 (do not delete)'!$C$7:$I$7,0)))+((O20)*0.05)+(INDEX('Rates v2 (do not delete)'!$C$8:$I$14,MATCH('OUTPUT - Pricing model'!$B20,'Rates v2 (do not delete)'!$B$8:$B$14,0),MATCH('OUTPUT - Pricing model'!$D20,'Rates v2 (do not delete)'!$C$7:$I$7,0)))*(1-0.10948905109489)*0.1)),
IF($D20&lt;&gt;C$8, (((INDEX('Rates v2 (do not delete)'!$C$8:$I$14,MATCH($B20,'Rates v2 (do not delete)'!$B$8:$B$14,0),MATCH($D20,'Rates v2 (do not delete)'!$C$7:$I$7,0)))*VLOOKUP($D20,Rates!$B$39:$D$45,3,0)*K$8)+((N20)*0.05)+(INDEX('Rates v2 (do not delete)'!$C$8:$I$14,MATCH($B20,'Rates v2 (do not delete)'!$B$8:$B$14,0),MATCH($D20,'Rates v2 (do not delete)'!$C$7:$I$7,0))*VLOOKUP($D20,Rates!$B$39:$D$45,3,0)*K$8)*(1-0.10948905109489)*0.1), ((INDEX('Rates v2 (do not delete)'!$C$8:$I$14,MATCH($B20,'Rates v2 (do not delete)'!$B$8:$B$14,0),MATCH($D20,'Rates v2 (do not delete)'!$C$7:$I$7,0))*K$8)+((N20)*0.05)+(INDEX('Rates v2 (do not delete)'!$C$8:$I$14,MATCH($B20,'Rates v2 (do not delete)'!$B$8:$B$14,0),MATCH($D20,'Rates v2 (do not delete)'!$C$7:$I$7,0))*K$8)*(1-0.10948905109489)*0.1))),"")</f>
        <v/>
      </c>
      <c r="Y20" s="63" t="str">
        <f t="shared" si="5"/>
        <v/>
      </c>
      <c r="Z20" s="64" t="str">
        <f t="shared" ref="Z20:Z29" si="12">IFERROR((P20-Y20)/P20,"")</f>
        <v/>
      </c>
    </row>
    <row r="21" spans="2:26">
      <c r="B21" s="76" t="str">
        <f>IF('INPUT - Weekly Breakdown'!B20="","",'INPUT - Weekly Breakdown'!B20)</f>
        <v/>
      </c>
      <c r="C21" s="76" t="str">
        <f>IF('INPUT - Weekly Breakdown'!C20="","",'INPUT - Weekly Breakdown'!C20)</f>
        <v/>
      </c>
      <c r="D21" s="77"/>
      <c r="E21" s="78" t="str">
        <f>IF($B21="","",IF(F$8="Hours",VLOOKUP($B21,Rates!$B$28:$I$34,Rates!C$47,FALSE),VLOOKUP($B21,Rates!$B$16:$I$22,Rates!$C$47,FALSE)))</f>
        <v/>
      </c>
      <c r="F21" s="79" t="str">
        <f>IF(B21="","",IF(F$8="Hours", 'INPUT - Weekly Breakdown'!D20, 'INPUT - Weekly Breakdown'!D20))</f>
        <v/>
      </c>
      <c r="G21" s="120" t="str">
        <f t="shared" si="7"/>
        <v/>
      </c>
      <c r="H21" s="78" t="str">
        <f t="shared" si="0"/>
        <v/>
      </c>
      <c r="I21" s="80"/>
      <c r="J21" s="78" t="str">
        <f t="shared" si="8"/>
        <v/>
      </c>
      <c r="K21" s="78" t="str">
        <f t="shared" si="1"/>
        <v/>
      </c>
      <c r="L21" s="78" t="str">
        <f t="shared" si="2"/>
        <v/>
      </c>
      <c r="M21" s="111"/>
      <c r="N21" s="118" t="str">
        <f t="shared" si="9"/>
        <v/>
      </c>
      <c r="O21" s="121" t="str">
        <f t="shared" si="10"/>
        <v/>
      </c>
      <c r="P21" s="78" t="str">
        <f t="shared" si="11"/>
        <v/>
      </c>
      <c r="Q21" s="65"/>
      <c r="R21" s="78" t="str">
        <f>IF(B21="","",IF(F$8="Hours", VLOOKUP(B21,Rates!$B$5:$C$11,2,FALSE), VLOOKUP(B21,Rates!$B$5:$C$11,2,FALSE)*8))</f>
        <v/>
      </c>
      <c r="S21" s="78" t="str">
        <f>IF(B21="","",(L21*VLOOKUP(C$8,Rates!$B$39:$D$45,3,0)-R21))</f>
        <v/>
      </c>
      <c r="T21" s="65"/>
      <c r="U21" s="78" t="str">
        <f t="shared" si="3"/>
        <v/>
      </c>
      <c r="V21" s="78" t="str">
        <f t="shared" si="4"/>
        <v/>
      </c>
      <c r="W21" s="43"/>
      <c r="X21" s="63" t="str">
        <f>IFERROR(IF(F$8="Hours", IF($D21&lt;&gt;C$8, (((INDEX('Rates v2 (do not delete)'!$C$8:$I$14,MATCH('OUTPUT - Pricing model'!$B21,'Rates v2 (do not delete)'!$B$8:$B$14,0),MATCH('OUTPUT - Pricing model'!$D21,'Rates v2 (do not delete)'!$C$7:$I$7,0)))*VLOOKUP($D21,Rates!$B$39:$D$45,3,0))+((O21)*0.05)+(INDEX('Rates v2 (do not delete)'!$C$8:$I$14,MATCH('OUTPUT - Pricing model'!$B21,'Rates v2 (do not delete)'!$B$8:$B$14,0),MATCH('OUTPUT - Pricing model'!$D21,'Rates v2 (do not delete)'!$C$7:$I$7,0))*VLOOKUP($D21,Rates!$B$39:$D$45,3,0))*(1-0.10948905109489)*0.1), ((INDEX('Rates v2 (do not delete)'!$C$8:$I$14,MATCH('OUTPUT - Pricing model'!$B21,'Rates v2 (do not delete)'!$B$8:$B$14,0),MATCH('OUTPUT - Pricing model'!$D21,'Rates v2 (do not delete)'!$C$7:$I$7,0)))+((O21)*0.05)+(INDEX('Rates v2 (do not delete)'!$C$8:$I$14,MATCH('OUTPUT - Pricing model'!$B21,'Rates v2 (do not delete)'!$B$8:$B$14,0),MATCH('OUTPUT - Pricing model'!$D21,'Rates v2 (do not delete)'!$C$7:$I$7,0)))*(1-0.10948905109489)*0.1)),
IF($D21&lt;&gt;C$8, (((INDEX('Rates v2 (do not delete)'!$C$8:$I$14,MATCH($B21,'Rates v2 (do not delete)'!$B$8:$B$14,0),MATCH($D21,'Rates v2 (do not delete)'!$C$7:$I$7,0)))*VLOOKUP($D21,Rates!$B$39:$D$45,3,0)*K$8)+((N21)*0.05)+(INDEX('Rates v2 (do not delete)'!$C$8:$I$14,MATCH($B21,'Rates v2 (do not delete)'!$B$8:$B$14,0),MATCH($D21,'Rates v2 (do not delete)'!$C$7:$I$7,0))*VLOOKUP($D21,Rates!$B$39:$D$45,3,0)*K$8)*(1-0.10948905109489)*0.1), ((INDEX('Rates v2 (do not delete)'!$C$8:$I$14,MATCH($B21,'Rates v2 (do not delete)'!$B$8:$B$14,0),MATCH($D21,'Rates v2 (do not delete)'!$C$7:$I$7,0))*K$8)+((N21)*0.05)+(INDEX('Rates v2 (do not delete)'!$C$8:$I$14,MATCH($B21,'Rates v2 (do not delete)'!$B$8:$B$14,0),MATCH($D21,'Rates v2 (do not delete)'!$C$7:$I$7,0))*K$8)*(1-0.10948905109489)*0.1))),"")</f>
        <v/>
      </c>
      <c r="Y21" s="63" t="str">
        <f t="shared" si="5"/>
        <v/>
      </c>
      <c r="Z21" s="64" t="str">
        <f t="shared" si="12"/>
        <v/>
      </c>
    </row>
    <row r="22" spans="2:26">
      <c r="B22" s="76" t="str">
        <f>IF('INPUT - Weekly Breakdown'!B21="","",'INPUT - Weekly Breakdown'!B21)</f>
        <v/>
      </c>
      <c r="C22" s="76" t="str">
        <f>IF('INPUT - Weekly Breakdown'!C21="","",'INPUT - Weekly Breakdown'!C21)</f>
        <v/>
      </c>
      <c r="D22" s="77"/>
      <c r="E22" s="78" t="str">
        <f>IF($B22="","",IF(F$8="Hours",VLOOKUP($B22,Rates!$B$28:$I$34,Rates!C$47,FALSE),VLOOKUP($B22,Rates!$B$16:$I$22,Rates!$C$47,FALSE)))</f>
        <v/>
      </c>
      <c r="F22" s="79" t="str">
        <f>IF(B22="","",IF(F$8="Hours", 'INPUT - Weekly Breakdown'!D21, 'INPUT - Weekly Breakdown'!D21))</f>
        <v/>
      </c>
      <c r="G22" s="120" t="str">
        <f t="shared" si="7"/>
        <v/>
      </c>
      <c r="H22" s="78" t="str">
        <f t="shared" si="0"/>
        <v/>
      </c>
      <c r="I22" s="80"/>
      <c r="J22" s="78" t="str">
        <f t="shared" si="8"/>
        <v/>
      </c>
      <c r="K22" s="78" t="str">
        <f t="shared" si="1"/>
        <v/>
      </c>
      <c r="L22" s="78" t="str">
        <f t="shared" si="2"/>
        <v/>
      </c>
      <c r="M22" s="111"/>
      <c r="N22" s="118" t="str">
        <f t="shared" si="9"/>
        <v/>
      </c>
      <c r="O22" s="121" t="str">
        <f t="shared" si="10"/>
        <v/>
      </c>
      <c r="P22" s="78" t="str">
        <f t="shared" si="11"/>
        <v/>
      </c>
      <c r="Q22" s="65"/>
      <c r="R22" s="78" t="str">
        <f>IF(B22="","",IF(F$8="Hours", VLOOKUP(B22,Rates!$B$5:$C$11,2,FALSE), VLOOKUP(B22,Rates!$B$5:$C$11,2,FALSE)*8))</f>
        <v/>
      </c>
      <c r="S22" s="78" t="str">
        <f>IF(B22="","",(L22*VLOOKUP(C$8,Rates!$B$39:$D$45,3,0)-R22))</f>
        <v/>
      </c>
      <c r="T22" s="65"/>
      <c r="U22" s="78" t="str">
        <f t="shared" si="3"/>
        <v/>
      </c>
      <c r="V22" s="78" t="str">
        <f t="shared" si="4"/>
        <v/>
      </c>
      <c r="W22" s="43"/>
      <c r="X22" s="63" t="str">
        <f>IFERROR(IF(F$8="Hours", IF($D22&lt;&gt;C$8, (((INDEX('Rates v2 (do not delete)'!$C$8:$I$14,MATCH('OUTPUT - Pricing model'!$B22,'Rates v2 (do not delete)'!$B$8:$B$14,0),MATCH('OUTPUT - Pricing model'!$D22,'Rates v2 (do not delete)'!$C$7:$I$7,0)))*VLOOKUP($D22,Rates!$B$39:$D$45,3,0))+((O22)*0.05)+(INDEX('Rates v2 (do not delete)'!$C$8:$I$14,MATCH('OUTPUT - Pricing model'!$B22,'Rates v2 (do not delete)'!$B$8:$B$14,0),MATCH('OUTPUT - Pricing model'!$D22,'Rates v2 (do not delete)'!$C$7:$I$7,0))*VLOOKUP($D22,Rates!$B$39:$D$45,3,0))*(1-0.10948905109489)*0.1), ((INDEX('Rates v2 (do not delete)'!$C$8:$I$14,MATCH('OUTPUT - Pricing model'!$B22,'Rates v2 (do not delete)'!$B$8:$B$14,0),MATCH('OUTPUT - Pricing model'!$D22,'Rates v2 (do not delete)'!$C$7:$I$7,0)))+((O22)*0.05)+(INDEX('Rates v2 (do not delete)'!$C$8:$I$14,MATCH('OUTPUT - Pricing model'!$B22,'Rates v2 (do not delete)'!$B$8:$B$14,0),MATCH('OUTPUT - Pricing model'!$D22,'Rates v2 (do not delete)'!$C$7:$I$7,0)))*(1-0.10948905109489)*0.1)),
IF($D22&lt;&gt;C$8, (((INDEX('Rates v2 (do not delete)'!$C$8:$I$14,MATCH($B22,'Rates v2 (do not delete)'!$B$8:$B$14,0),MATCH($D22,'Rates v2 (do not delete)'!$C$7:$I$7,0)))*VLOOKUP($D22,Rates!$B$39:$D$45,3,0)*K$8)+((N22)*0.05)+(INDEX('Rates v2 (do not delete)'!$C$8:$I$14,MATCH($B22,'Rates v2 (do not delete)'!$B$8:$B$14,0),MATCH($D22,'Rates v2 (do not delete)'!$C$7:$I$7,0))*VLOOKUP($D22,Rates!$B$39:$D$45,3,0)*K$8)*(1-0.10948905109489)*0.1), ((INDEX('Rates v2 (do not delete)'!$C$8:$I$14,MATCH($B22,'Rates v2 (do not delete)'!$B$8:$B$14,0),MATCH($D22,'Rates v2 (do not delete)'!$C$7:$I$7,0))*K$8)+((N22)*0.05)+(INDEX('Rates v2 (do not delete)'!$C$8:$I$14,MATCH($B22,'Rates v2 (do not delete)'!$B$8:$B$14,0),MATCH($D22,'Rates v2 (do not delete)'!$C$7:$I$7,0))*K$8)*(1-0.10948905109489)*0.1))),"")</f>
        <v/>
      </c>
      <c r="Y22" s="63" t="str">
        <f t="shared" si="5"/>
        <v/>
      </c>
      <c r="Z22" s="64" t="str">
        <f t="shared" si="12"/>
        <v/>
      </c>
    </row>
    <row r="23" spans="2:26">
      <c r="B23" s="76" t="str">
        <f>IF('INPUT - Weekly Breakdown'!B22="","",'INPUT - Weekly Breakdown'!B22)</f>
        <v/>
      </c>
      <c r="C23" s="76" t="str">
        <f>IF('INPUT - Weekly Breakdown'!C22="","",'INPUT - Weekly Breakdown'!C22)</f>
        <v/>
      </c>
      <c r="D23" s="77"/>
      <c r="E23" s="78" t="str">
        <f>IF($B23="","",IF(F$8="Hours",VLOOKUP($B23,Rates!$B$28:$I$34,Rates!C$47,FALSE),VLOOKUP($B23,Rates!$B$16:$I$22,Rates!$C$47,FALSE)))</f>
        <v/>
      </c>
      <c r="F23" s="79" t="str">
        <f>IF(B23="","",IF(F$8="Hours", 'INPUT - Weekly Breakdown'!D22, 'INPUT - Weekly Breakdown'!D22))</f>
        <v/>
      </c>
      <c r="G23" s="120" t="str">
        <f t="shared" si="7"/>
        <v/>
      </c>
      <c r="H23" s="78" t="str">
        <f t="shared" si="0"/>
        <v/>
      </c>
      <c r="I23" s="80"/>
      <c r="J23" s="78" t="str">
        <f t="shared" si="8"/>
        <v/>
      </c>
      <c r="K23" s="78" t="str">
        <f t="shared" si="1"/>
        <v/>
      </c>
      <c r="L23" s="78" t="str">
        <f t="shared" si="2"/>
        <v/>
      </c>
      <c r="M23" s="111"/>
      <c r="N23" s="118" t="str">
        <f t="shared" si="9"/>
        <v/>
      </c>
      <c r="O23" s="121" t="str">
        <f t="shared" si="10"/>
        <v/>
      </c>
      <c r="P23" s="78" t="str">
        <f t="shared" si="11"/>
        <v/>
      </c>
      <c r="Q23" s="65"/>
      <c r="R23" s="78" t="str">
        <f>IF(B23="","",IF(F$8="Hours", VLOOKUP(B23,Rates!$B$5:$C$11,2,FALSE), VLOOKUP(B23,Rates!$B$5:$C$11,2,FALSE)*8))</f>
        <v/>
      </c>
      <c r="S23" s="78" t="str">
        <f>IF(B23="","",(L23*VLOOKUP(C$8,Rates!$B$39:$D$45,3,0)-R23))</f>
        <v/>
      </c>
      <c r="T23" s="65"/>
      <c r="U23" s="78" t="str">
        <f t="shared" si="3"/>
        <v/>
      </c>
      <c r="V23" s="78" t="str">
        <f t="shared" si="4"/>
        <v/>
      </c>
      <c r="W23" s="43"/>
      <c r="X23" s="63" t="str">
        <f>IFERROR(IF(F$8="Hours", IF($D23&lt;&gt;C$8, (((INDEX('Rates v2 (do not delete)'!$C$8:$I$14,MATCH('OUTPUT - Pricing model'!$B23,'Rates v2 (do not delete)'!$B$8:$B$14,0),MATCH('OUTPUT - Pricing model'!$D23,'Rates v2 (do not delete)'!$C$7:$I$7,0)))*VLOOKUP($D23,Rates!$B$39:$D$45,3,0))+((O23)*0.05)+(INDEX('Rates v2 (do not delete)'!$C$8:$I$14,MATCH('OUTPUT - Pricing model'!$B23,'Rates v2 (do not delete)'!$B$8:$B$14,0),MATCH('OUTPUT - Pricing model'!$D23,'Rates v2 (do not delete)'!$C$7:$I$7,0))*VLOOKUP($D23,Rates!$B$39:$D$45,3,0))*(1-0.10948905109489)*0.1), ((INDEX('Rates v2 (do not delete)'!$C$8:$I$14,MATCH('OUTPUT - Pricing model'!$B23,'Rates v2 (do not delete)'!$B$8:$B$14,0),MATCH('OUTPUT - Pricing model'!$D23,'Rates v2 (do not delete)'!$C$7:$I$7,0)))+((O23)*0.05)+(INDEX('Rates v2 (do not delete)'!$C$8:$I$14,MATCH('OUTPUT - Pricing model'!$B23,'Rates v2 (do not delete)'!$B$8:$B$14,0),MATCH('OUTPUT - Pricing model'!$D23,'Rates v2 (do not delete)'!$C$7:$I$7,0)))*(1-0.10948905109489)*0.1)),
IF($D23&lt;&gt;C$8, (((INDEX('Rates v2 (do not delete)'!$C$8:$I$14,MATCH($B23,'Rates v2 (do not delete)'!$B$8:$B$14,0),MATCH($D23,'Rates v2 (do not delete)'!$C$7:$I$7,0)))*VLOOKUP($D23,Rates!$B$39:$D$45,3,0)*K$8)+((N23)*0.05)+(INDEX('Rates v2 (do not delete)'!$C$8:$I$14,MATCH($B23,'Rates v2 (do not delete)'!$B$8:$B$14,0),MATCH($D23,'Rates v2 (do not delete)'!$C$7:$I$7,0))*VLOOKUP($D23,Rates!$B$39:$D$45,3,0)*K$8)*(1-0.10948905109489)*0.1), ((INDEX('Rates v2 (do not delete)'!$C$8:$I$14,MATCH($B23,'Rates v2 (do not delete)'!$B$8:$B$14,0),MATCH($D23,'Rates v2 (do not delete)'!$C$7:$I$7,0))*K$8)+((N23)*0.05)+(INDEX('Rates v2 (do not delete)'!$C$8:$I$14,MATCH($B23,'Rates v2 (do not delete)'!$B$8:$B$14,0),MATCH($D23,'Rates v2 (do not delete)'!$C$7:$I$7,0))*K$8)*(1-0.10948905109489)*0.1))),"")</f>
        <v/>
      </c>
      <c r="Y23" s="63" t="str">
        <f t="shared" si="5"/>
        <v/>
      </c>
      <c r="Z23" s="64" t="str">
        <f t="shared" si="12"/>
        <v/>
      </c>
    </row>
    <row r="24" spans="2:26">
      <c r="B24" s="76" t="str">
        <f>IF('INPUT - Weekly Breakdown'!B23="","",'INPUT - Weekly Breakdown'!B23)</f>
        <v/>
      </c>
      <c r="C24" s="76" t="str">
        <f>IF('INPUT - Weekly Breakdown'!C23="","",'INPUT - Weekly Breakdown'!C23)</f>
        <v/>
      </c>
      <c r="D24" s="77"/>
      <c r="E24" s="78" t="str">
        <f>IF($B24="","",IF(F$8="Hours",VLOOKUP($B24,Rates!$B$28:$I$34,Rates!C$47,FALSE),VLOOKUP($B24,Rates!$B$16:$I$22,Rates!$C$47,FALSE)))</f>
        <v/>
      </c>
      <c r="F24" s="79" t="str">
        <f>IF(B24="","",IF(F$8="Hours", 'INPUT - Weekly Breakdown'!D23, 'INPUT - Weekly Breakdown'!D23))</f>
        <v/>
      </c>
      <c r="G24" s="120" t="str">
        <f t="shared" si="7"/>
        <v/>
      </c>
      <c r="H24" s="78" t="str">
        <f t="shared" si="0"/>
        <v/>
      </c>
      <c r="I24" s="80"/>
      <c r="J24" s="78" t="str">
        <f t="shared" si="8"/>
        <v/>
      </c>
      <c r="K24" s="78" t="str">
        <f t="shared" si="1"/>
        <v/>
      </c>
      <c r="L24" s="78" t="str">
        <f t="shared" si="2"/>
        <v/>
      </c>
      <c r="M24" s="111"/>
      <c r="N24" s="118" t="str">
        <f t="shared" si="9"/>
        <v/>
      </c>
      <c r="O24" s="121" t="str">
        <f t="shared" si="10"/>
        <v/>
      </c>
      <c r="P24" s="78" t="str">
        <f t="shared" si="11"/>
        <v/>
      </c>
      <c r="Q24" s="65"/>
      <c r="R24" s="78" t="str">
        <f>IF(B24="","",IF(F$8="Hours", VLOOKUP(B24,Rates!$B$5:$C$11,2,FALSE), VLOOKUP(B24,Rates!$B$5:$C$11,2,FALSE)*8))</f>
        <v/>
      </c>
      <c r="S24" s="78" t="str">
        <f>IF(B24="","",(L24*VLOOKUP(C$8,Rates!$B$39:$D$45,3,0)-R24))</f>
        <v/>
      </c>
      <c r="T24" s="65"/>
      <c r="U24" s="78" t="str">
        <f t="shared" si="3"/>
        <v/>
      </c>
      <c r="V24" s="78" t="str">
        <f t="shared" si="4"/>
        <v/>
      </c>
      <c r="W24" s="43"/>
      <c r="X24" s="63" t="str">
        <f>IFERROR(IF(F$8="Hours", IF($D24&lt;&gt;C$8, (((INDEX('Rates v2 (do not delete)'!$C$8:$I$14,MATCH('OUTPUT - Pricing model'!$B24,'Rates v2 (do not delete)'!$B$8:$B$14,0),MATCH('OUTPUT - Pricing model'!$D24,'Rates v2 (do not delete)'!$C$7:$I$7,0)))*VLOOKUP($D24,Rates!$B$39:$D$45,3,0))+((O24)*0.05)+(INDEX('Rates v2 (do not delete)'!$C$8:$I$14,MATCH('OUTPUT - Pricing model'!$B24,'Rates v2 (do not delete)'!$B$8:$B$14,0),MATCH('OUTPUT - Pricing model'!$D24,'Rates v2 (do not delete)'!$C$7:$I$7,0))*VLOOKUP($D24,Rates!$B$39:$D$45,3,0))*(1-0.10948905109489)*0.1), ((INDEX('Rates v2 (do not delete)'!$C$8:$I$14,MATCH('OUTPUT - Pricing model'!$B24,'Rates v2 (do not delete)'!$B$8:$B$14,0),MATCH('OUTPUT - Pricing model'!$D24,'Rates v2 (do not delete)'!$C$7:$I$7,0)))+((O24)*0.05)+(INDEX('Rates v2 (do not delete)'!$C$8:$I$14,MATCH('OUTPUT - Pricing model'!$B24,'Rates v2 (do not delete)'!$B$8:$B$14,0),MATCH('OUTPUT - Pricing model'!$D24,'Rates v2 (do not delete)'!$C$7:$I$7,0)))*(1-0.10948905109489)*0.1)),
IF($D24&lt;&gt;C$8, (((INDEX('Rates v2 (do not delete)'!$C$8:$I$14,MATCH($B24,'Rates v2 (do not delete)'!$B$8:$B$14,0),MATCH($D24,'Rates v2 (do not delete)'!$C$7:$I$7,0)))*VLOOKUP($D24,Rates!$B$39:$D$45,3,0)*K$8)+((N24)*0.05)+(INDEX('Rates v2 (do not delete)'!$C$8:$I$14,MATCH($B24,'Rates v2 (do not delete)'!$B$8:$B$14,0),MATCH($D24,'Rates v2 (do not delete)'!$C$7:$I$7,0))*VLOOKUP($D24,Rates!$B$39:$D$45,3,0)*K$8)*(1-0.10948905109489)*0.1), ((INDEX('Rates v2 (do not delete)'!$C$8:$I$14,MATCH($B24,'Rates v2 (do not delete)'!$B$8:$B$14,0),MATCH($D24,'Rates v2 (do not delete)'!$C$7:$I$7,0))*K$8)+((N24)*0.05)+(INDEX('Rates v2 (do not delete)'!$C$8:$I$14,MATCH($B24,'Rates v2 (do not delete)'!$B$8:$B$14,0),MATCH($D24,'Rates v2 (do not delete)'!$C$7:$I$7,0))*K$8)*(1-0.10948905109489)*0.1))),"")</f>
        <v/>
      </c>
      <c r="Y24" s="63" t="str">
        <f t="shared" si="5"/>
        <v/>
      </c>
      <c r="Z24" s="64" t="str">
        <f t="shared" si="12"/>
        <v/>
      </c>
    </row>
    <row r="25" spans="2:26">
      <c r="B25" s="76" t="str">
        <f>IF('INPUT - Weekly Breakdown'!B24="","",'INPUT - Weekly Breakdown'!B24)</f>
        <v/>
      </c>
      <c r="C25" s="76" t="str">
        <f>IF('INPUT - Weekly Breakdown'!C24="","",'INPUT - Weekly Breakdown'!C24)</f>
        <v/>
      </c>
      <c r="D25" s="77"/>
      <c r="E25" s="78" t="str">
        <f>IF($B25="","",IF(F$8="Hours",VLOOKUP($B25,Rates!$B$28:$I$34,Rates!C$47,FALSE),VLOOKUP($B25,Rates!$B$16:$I$22,Rates!$C$47,FALSE)))</f>
        <v/>
      </c>
      <c r="F25" s="79" t="str">
        <f>IF(B25="","",IF(F$8="Hours", 'INPUT - Weekly Breakdown'!D24, 'INPUT - Weekly Breakdown'!D24))</f>
        <v/>
      </c>
      <c r="G25" s="120" t="str">
        <f t="shared" si="7"/>
        <v/>
      </c>
      <c r="H25" s="78" t="str">
        <f t="shared" si="0"/>
        <v/>
      </c>
      <c r="I25" s="80"/>
      <c r="J25" s="78" t="str">
        <f t="shared" si="8"/>
        <v/>
      </c>
      <c r="K25" s="78" t="str">
        <f t="shared" si="1"/>
        <v/>
      </c>
      <c r="L25" s="78" t="str">
        <f t="shared" si="2"/>
        <v/>
      </c>
      <c r="M25" s="111"/>
      <c r="N25" s="118" t="str">
        <f t="shared" si="9"/>
        <v/>
      </c>
      <c r="O25" s="121" t="str">
        <f t="shared" si="10"/>
        <v/>
      </c>
      <c r="P25" s="78" t="str">
        <f t="shared" si="11"/>
        <v/>
      </c>
      <c r="Q25" s="65"/>
      <c r="R25" s="78" t="str">
        <f>IF(B25="","",IF(F$8="Hours", VLOOKUP(B25,Rates!$B$5:$C$11,2,FALSE), VLOOKUP(B25,Rates!$B$5:$C$11,2,FALSE)*8))</f>
        <v/>
      </c>
      <c r="S25" s="78" t="str">
        <f>IF(B25="","",(L25*VLOOKUP(C$8,Rates!$B$39:$D$45,3,0)-R25))</f>
        <v/>
      </c>
      <c r="T25" s="65"/>
      <c r="U25" s="78" t="str">
        <f t="shared" si="3"/>
        <v/>
      </c>
      <c r="V25" s="78" t="str">
        <f t="shared" si="4"/>
        <v/>
      </c>
      <c r="W25" s="43"/>
      <c r="X25" s="63" t="str">
        <f>IFERROR(IF(F$8="Hours", IF($D25&lt;&gt;C$8, (((INDEX('Rates v2 (do not delete)'!$C$8:$I$14,MATCH('OUTPUT - Pricing model'!$B25,'Rates v2 (do not delete)'!$B$8:$B$14,0),MATCH('OUTPUT - Pricing model'!$D25,'Rates v2 (do not delete)'!$C$7:$I$7,0)))*VLOOKUP($D25,Rates!$B$39:$D$45,3,0))+((O25)*0.05)+(INDEX('Rates v2 (do not delete)'!$C$8:$I$14,MATCH('OUTPUT - Pricing model'!$B25,'Rates v2 (do not delete)'!$B$8:$B$14,0),MATCH('OUTPUT - Pricing model'!$D25,'Rates v2 (do not delete)'!$C$7:$I$7,0))*VLOOKUP($D25,Rates!$B$39:$D$45,3,0))*(1-0.10948905109489)*0.1), ((INDEX('Rates v2 (do not delete)'!$C$8:$I$14,MATCH('OUTPUT - Pricing model'!$B25,'Rates v2 (do not delete)'!$B$8:$B$14,0),MATCH('OUTPUT - Pricing model'!$D25,'Rates v2 (do not delete)'!$C$7:$I$7,0)))+((O25)*0.05)+(INDEX('Rates v2 (do not delete)'!$C$8:$I$14,MATCH('OUTPUT - Pricing model'!$B25,'Rates v2 (do not delete)'!$B$8:$B$14,0),MATCH('OUTPUT - Pricing model'!$D25,'Rates v2 (do not delete)'!$C$7:$I$7,0)))*(1-0.10948905109489)*0.1)),
IF($D25&lt;&gt;C$8, (((INDEX('Rates v2 (do not delete)'!$C$8:$I$14,MATCH($B25,'Rates v2 (do not delete)'!$B$8:$B$14,0),MATCH($D25,'Rates v2 (do not delete)'!$C$7:$I$7,0)))*VLOOKUP($D25,Rates!$B$39:$D$45,3,0)*K$8)+((N25)*0.05)+(INDEX('Rates v2 (do not delete)'!$C$8:$I$14,MATCH($B25,'Rates v2 (do not delete)'!$B$8:$B$14,0),MATCH($D25,'Rates v2 (do not delete)'!$C$7:$I$7,0))*VLOOKUP($D25,Rates!$B$39:$D$45,3,0)*K$8)*(1-0.10948905109489)*0.1), ((INDEX('Rates v2 (do not delete)'!$C$8:$I$14,MATCH($B25,'Rates v2 (do not delete)'!$B$8:$B$14,0),MATCH($D25,'Rates v2 (do not delete)'!$C$7:$I$7,0))*K$8)+((N25)*0.05)+(INDEX('Rates v2 (do not delete)'!$C$8:$I$14,MATCH($B25,'Rates v2 (do not delete)'!$B$8:$B$14,0),MATCH($D25,'Rates v2 (do not delete)'!$C$7:$I$7,0))*K$8)*(1-0.10948905109489)*0.1))),"")</f>
        <v/>
      </c>
      <c r="Y25" s="63" t="str">
        <f t="shared" si="5"/>
        <v/>
      </c>
      <c r="Z25" s="64" t="str">
        <f t="shared" si="12"/>
        <v/>
      </c>
    </row>
    <row r="26" spans="2:26">
      <c r="B26" s="76" t="str">
        <f>IF('INPUT - Weekly Breakdown'!B25="","",'INPUT - Weekly Breakdown'!B25)</f>
        <v/>
      </c>
      <c r="C26" s="76" t="str">
        <f>IF('INPUT - Weekly Breakdown'!C25="","",'INPUT - Weekly Breakdown'!C25)</f>
        <v/>
      </c>
      <c r="D26" s="77"/>
      <c r="E26" s="78" t="str">
        <f>IF($B26="","",IF(F$8="Hours",VLOOKUP($B26,Rates!$B$28:$I$34,Rates!C$47,FALSE),VLOOKUP($B26,Rates!$B$16:$I$22,Rates!$C$47,FALSE)))</f>
        <v/>
      </c>
      <c r="F26" s="79" t="str">
        <f>IF(B26="","",IF(F$8="Hours", 'INPUT - Weekly Breakdown'!D25, 'INPUT - Weekly Breakdown'!D25))</f>
        <v/>
      </c>
      <c r="G26" s="120" t="str">
        <f t="shared" si="7"/>
        <v/>
      </c>
      <c r="H26" s="78" t="str">
        <f t="shared" si="0"/>
        <v/>
      </c>
      <c r="I26" s="80"/>
      <c r="J26" s="78" t="str">
        <f t="shared" si="8"/>
        <v/>
      </c>
      <c r="K26" s="78" t="str">
        <f t="shared" si="1"/>
        <v/>
      </c>
      <c r="L26" s="78" t="str">
        <f t="shared" si="2"/>
        <v/>
      </c>
      <c r="M26" s="111"/>
      <c r="N26" s="118" t="str">
        <f t="shared" si="9"/>
        <v/>
      </c>
      <c r="O26" s="121" t="str">
        <f t="shared" si="10"/>
        <v/>
      </c>
      <c r="P26" s="78" t="str">
        <f t="shared" si="11"/>
        <v/>
      </c>
      <c r="Q26" s="65"/>
      <c r="R26" s="78" t="str">
        <f>IF(B26="","",IF(F$8="Hours", VLOOKUP(B26,Rates!$B$5:$C$11,2,FALSE), VLOOKUP(B26,Rates!$B$5:$C$11,2,FALSE)*8))</f>
        <v/>
      </c>
      <c r="S26" s="78" t="str">
        <f>IF(B26="","",(L26*VLOOKUP(C$8,Rates!$B$39:$D$45,3,0)-R26))</f>
        <v/>
      </c>
      <c r="T26" s="65"/>
      <c r="U26" s="78" t="str">
        <f t="shared" si="3"/>
        <v/>
      </c>
      <c r="V26" s="78" t="str">
        <f t="shared" si="4"/>
        <v/>
      </c>
      <c r="W26" s="43"/>
      <c r="X26" s="63" t="str">
        <f>IFERROR(IF(F$8="Hours", IF($D26&lt;&gt;C$8, (((INDEX('Rates v2 (do not delete)'!$C$8:$I$14,MATCH('OUTPUT - Pricing model'!$B26,'Rates v2 (do not delete)'!$B$8:$B$14,0),MATCH('OUTPUT - Pricing model'!$D26,'Rates v2 (do not delete)'!$C$7:$I$7,0)))*VLOOKUP($D26,Rates!$B$39:$D$45,3,0))+((O26)*0.05)+(INDEX('Rates v2 (do not delete)'!$C$8:$I$14,MATCH('OUTPUT - Pricing model'!$B26,'Rates v2 (do not delete)'!$B$8:$B$14,0),MATCH('OUTPUT - Pricing model'!$D26,'Rates v2 (do not delete)'!$C$7:$I$7,0))*VLOOKUP($D26,Rates!$B$39:$D$45,3,0))*(1-0.10948905109489)*0.1), ((INDEX('Rates v2 (do not delete)'!$C$8:$I$14,MATCH('OUTPUT - Pricing model'!$B26,'Rates v2 (do not delete)'!$B$8:$B$14,0),MATCH('OUTPUT - Pricing model'!$D26,'Rates v2 (do not delete)'!$C$7:$I$7,0)))+((O26)*0.05)+(INDEX('Rates v2 (do not delete)'!$C$8:$I$14,MATCH('OUTPUT - Pricing model'!$B26,'Rates v2 (do not delete)'!$B$8:$B$14,0),MATCH('OUTPUT - Pricing model'!$D26,'Rates v2 (do not delete)'!$C$7:$I$7,0)))*(1-0.10948905109489)*0.1)),
IF($D26&lt;&gt;C$8, (((INDEX('Rates v2 (do not delete)'!$C$8:$I$14,MATCH($B26,'Rates v2 (do not delete)'!$B$8:$B$14,0),MATCH($D26,'Rates v2 (do not delete)'!$C$7:$I$7,0)))*VLOOKUP($D26,Rates!$B$39:$D$45,3,0)*K$8)+((N26)*0.05)+(INDEX('Rates v2 (do not delete)'!$C$8:$I$14,MATCH($B26,'Rates v2 (do not delete)'!$B$8:$B$14,0),MATCH($D26,'Rates v2 (do not delete)'!$C$7:$I$7,0))*VLOOKUP($D26,Rates!$B$39:$D$45,3,0)*K$8)*(1-0.10948905109489)*0.1), ((INDEX('Rates v2 (do not delete)'!$C$8:$I$14,MATCH($B26,'Rates v2 (do not delete)'!$B$8:$B$14,0),MATCH($D26,'Rates v2 (do not delete)'!$C$7:$I$7,0))*K$8)+((N26)*0.05)+(INDEX('Rates v2 (do not delete)'!$C$8:$I$14,MATCH($B26,'Rates v2 (do not delete)'!$B$8:$B$14,0),MATCH($D26,'Rates v2 (do not delete)'!$C$7:$I$7,0))*K$8)*(1-0.10948905109489)*0.1))),"")</f>
        <v/>
      </c>
      <c r="Y26" s="63" t="str">
        <f t="shared" si="5"/>
        <v/>
      </c>
      <c r="Z26" s="64" t="str">
        <f t="shared" si="12"/>
        <v/>
      </c>
    </row>
    <row r="27" spans="2:26">
      <c r="B27" s="76" t="str">
        <f>IF('INPUT - Weekly Breakdown'!B26="","",'INPUT - Weekly Breakdown'!B26)</f>
        <v/>
      </c>
      <c r="C27" s="76" t="str">
        <f>IF('INPUT - Weekly Breakdown'!C26="","",'INPUT - Weekly Breakdown'!C26)</f>
        <v/>
      </c>
      <c r="D27" s="77"/>
      <c r="E27" s="78" t="str">
        <f>IF($B27="","",IF(F$8="Hours",VLOOKUP($B27,Rates!$B$28:$I$34,Rates!C$47,FALSE),VLOOKUP($B27,Rates!$B$16:$I$22,Rates!$C$47,FALSE)))</f>
        <v/>
      </c>
      <c r="F27" s="79" t="str">
        <f>IF(B27="","",IF(F$8="Hours", 'INPUT - Weekly Breakdown'!D26, 'INPUT - Weekly Breakdown'!D26))</f>
        <v/>
      </c>
      <c r="G27" s="120" t="str">
        <f t="shared" si="7"/>
        <v/>
      </c>
      <c r="H27" s="78" t="str">
        <f t="shared" si="0"/>
        <v/>
      </c>
      <c r="I27" s="80"/>
      <c r="J27" s="78" t="str">
        <f t="shared" si="8"/>
        <v/>
      </c>
      <c r="K27" s="78" t="str">
        <f t="shared" si="1"/>
        <v/>
      </c>
      <c r="L27" s="78" t="str">
        <f t="shared" si="2"/>
        <v/>
      </c>
      <c r="M27" s="111"/>
      <c r="N27" s="118" t="str">
        <f t="shared" si="9"/>
        <v/>
      </c>
      <c r="O27" s="121" t="str">
        <f t="shared" si="10"/>
        <v/>
      </c>
      <c r="P27" s="78" t="str">
        <f t="shared" si="11"/>
        <v/>
      </c>
      <c r="Q27" s="65"/>
      <c r="R27" s="78" t="str">
        <f>IF(B27="","",IF(F$8="Hours", VLOOKUP(B27,Rates!$B$5:$C$11,2,FALSE), VLOOKUP(B27,Rates!$B$5:$C$11,2,FALSE)*8))</f>
        <v/>
      </c>
      <c r="S27" s="78" t="str">
        <f>IF(B27="","",(L27*VLOOKUP(C$8,Rates!$B$39:$D$45,3,0)-R27))</f>
        <v/>
      </c>
      <c r="T27" s="65"/>
      <c r="U27" s="78" t="str">
        <f t="shared" si="3"/>
        <v/>
      </c>
      <c r="V27" s="78" t="str">
        <f t="shared" si="4"/>
        <v/>
      </c>
      <c r="W27" s="43"/>
      <c r="X27" s="63" t="str">
        <f>IFERROR(IF(F$8="Hours", IF($D27&lt;&gt;C$8, (((INDEX('Rates v2 (do not delete)'!$C$8:$I$14,MATCH('OUTPUT - Pricing model'!$B27,'Rates v2 (do not delete)'!$B$8:$B$14,0),MATCH('OUTPUT - Pricing model'!$D27,'Rates v2 (do not delete)'!$C$7:$I$7,0)))*VLOOKUP($D27,Rates!$B$39:$D$45,3,0))+((O27)*0.05)+(INDEX('Rates v2 (do not delete)'!$C$8:$I$14,MATCH('OUTPUT - Pricing model'!$B27,'Rates v2 (do not delete)'!$B$8:$B$14,0),MATCH('OUTPUT - Pricing model'!$D27,'Rates v2 (do not delete)'!$C$7:$I$7,0))*VLOOKUP($D27,Rates!$B$39:$D$45,3,0))*(1-0.10948905109489)*0.1), ((INDEX('Rates v2 (do not delete)'!$C$8:$I$14,MATCH('OUTPUT - Pricing model'!$B27,'Rates v2 (do not delete)'!$B$8:$B$14,0),MATCH('OUTPUT - Pricing model'!$D27,'Rates v2 (do not delete)'!$C$7:$I$7,0)))+((O27)*0.05)+(INDEX('Rates v2 (do not delete)'!$C$8:$I$14,MATCH('OUTPUT - Pricing model'!$B27,'Rates v2 (do not delete)'!$B$8:$B$14,0),MATCH('OUTPUT - Pricing model'!$D27,'Rates v2 (do not delete)'!$C$7:$I$7,0)))*(1-0.10948905109489)*0.1)),
IF($D27&lt;&gt;C$8, (((INDEX('Rates v2 (do not delete)'!$C$8:$I$14,MATCH($B27,'Rates v2 (do not delete)'!$B$8:$B$14,0),MATCH($D27,'Rates v2 (do not delete)'!$C$7:$I$7,0)))*VLOOKUP($D27,Rates!$B$39:$D$45,3,0)*K$8)+((N27)*0.05)+(INDEX('Rates v2 (do not delete)'!$C$8:$I$14,MATCH($B27,'Rates v2 (do not delete)'!$B$8:$B$14,0),MATCH($D27,'Rates v2 (do not delete)'!$C$7:$I$7,0))*VLOOKUP($D27,Rates!$B$39:$D$45,3,0)*K$8)*(1-0.10948905109489)*0.1), ((INDEX('Rates v2 (do not delete)'!$C$8:$I$14,MATCH($B27,'Rates v2 (do not delete)'!$B$8:$B$14,0),MATCH($D27,'Rates v2 (do not delete)'!$C$7:$I$7,0))*K$8)+((N27)*0.05)+(INDEX('Rates v2 (do not delete)'!$C$8:$I$14,MATCH($B27,'Rates v2 (do not delete)'!$B$8:$B$14,0),MATCH($D27,'Rates v2 (do not delete)'!$C$7:$I$7,0))*K$8)*(1-0.10948905109489)*0.1))),"")</f>
        <v/>
      </c>
      <c r="Y27" s="63" t="str">
        <f t="shared" si="5"/>
        <v/>
      </c>
      <c r="Z27" s="64" t="str">
        <f t="shared" si="12"/>
        <v/>
      </c>
    </row>
    <row r="28" spans="2:26">
      <c r="B28" s="76" t="str">
        <f>IF('INPUT - Weekly Breakdown'!B27="","",'INPUT - Weekly Breakdown'!B27)</f>
        <v/>
      </c>
      <c r="C28" s="76" t="str">
        <f>IF('INPUT - Weekly Breakdown'!C27="","",'INPUT - Weekly Breakdown'!C27)</f>
        <v/>
      </c>
      <c r="D28" s="77"/>
      <c r="E28" s="78" t="str">
        <f>IF($B28="","",IF(F$8="Hours",VLOOKUP($B28,Rates!$B$28:$I$34,Rates!C$47,FALSE),VLOOKUP($B28,Rates!$B$16:$I$22,Rates!$C$47,FALSE)))</f>
        <v/>
      </c>
      <c r="F28" s="79" t="str">
        <f>IF(B28="","",IF(F$8="Hours", 'INPUT - Weekly Breakdown'!D27, 'INPUT - Weekly Breakdown'!D27))</f>
        <v/>
      </c>
      <c r="G28" s="120" t="str">
        <f t="shared" si="7"/>
        <v/>
      </c>
      <c r="H28" s="78" t="str">
        <f t="shared" si="0"/>
        <v/>
      </c>
      <c r="I28" s="80"/>
      <c r="J28" s="78" t="str">
        <f t="shared" si="8"/>
        <v/>
      </c>
      <c r="K28" s="78" t="str">
        <f t="shared" si="1"/>
        <v/>
      </c>
      <c r="L28" s="78" t="str">
        <f t="shared" si="2"/>
        <v/>
      </c>
      <c r="M28" s="111"/>
      <c r="N28" s="118" t="str">
        <f t="shared" si="9"/>
        <v/>
      </c>
      <c r="O28" s="121" t="str">
        <f t="shared" si="10"/>
        <v/>
      </c>
      <c r="P28" s="78" t="str">
        <f t="shared" si="11"/>
        <v/>
      </c>
      <c r="Q28" s="65"/>
      <c r="R28" s="78" t="str">
        <f>IF(B28="","",IF(F$8="Hours", VLOOKUP(B28,Rates!$B$5:$C$11,2,FALSE), VLOOKUP(B28,Rates!$B$5:$C$11,2,FALSE)*8))</f>
        <v/>
      </c>
      <c r="S28" s="78" t="str">
        <f>IF(B28="","",(L28*VLOOKUP(C$8,Rates!$B$39:$D$45,3,0)-R28))</f>
        <v/>
      </c>
      <c r="T28" s="65"/>
      <c r="U28" s="78" t="str">
        <f t="shared" si="3"/>
        <v/>
      </c>
      <c r="V28" s="78" t="str">
        <f t="shared" si="4"/>
        <v/>
      </c>
      <c r="W28" s="43"/>
      <c r="X28" s="63" t="str">
        <f>IFERROR(IF(F$8="Hours", IF($D28&lt;&gt;C$8, (((INDEX('Rates v2 (do not delete)'!$C$8:$I$14,MATCH('OUTPUT - Pricing model'!$B28,'Rates v2 (do not delete)'!$B$8:$B$14,0),MATCH('OUTPUT - Pricing model'!$D28,'Rates v2 (do not delete)'!$C$7:$I$7,0)))*VLOOKUP($D28,Rates!$B$39:$D$45,3,0))+((O28)*0.05)+(INDEX('Rates v2 (do not delete)'!$C$8:$I$14,MATCH('OUTPUT - Pricing model'!$B28,'Rates v2 (do not delete)'!$B$8:$B$14,0),MATCH('OUTPUT - Pricing model'!$D28,'Rates v2 (do not delete)'!$C$7:$I$7,0))*VLOOKUP($D28,Rates!$B$39:$D$45,3,0))*(1-0.10948905109489)*0.1), ((INDEX('Rates v2 (do not delete)'!$C$8:$I$14,MATCH('OUTPUT - Pricing model'!$B28,'Rates v2 (do not delete)'!$B$8:$B$14,0),MATCH('OUTPUT - Pricing model'!$D28,'Rates v2 (do not delete)'!$C$7:$I$7,0)))+((O28)*0.05)+(INDEX('Rates v2 (do not delete)'!$C$8:$I$14,MATCH('OUTPUT - Pricing model'!$B28,'Rates v2 (do not delete)'!$B$8:$B$14,0),MATCH('OUTPUT - Pricing model'!$D28,'Rates v2 (do not delete)'!$C$7:$I$7,0)))*(1-0.10948905109489)*0.1)),
IF($D28&lt;&gt;C$8, (((INDEX('Rates v2 (do not delete)'!$C$8:$I$14,MATCH($B28,'Rates v2 (do not delete)'!$B$8:$B$14,0),MATCH($D28,'Rates v2 (do not delete)'!$C$7:$I$7,0)))*VLOOKUP($D28,Rates!$B$39:$D$45,3,0)*K$8)+((N28)*0.05)+(INDEX('Rates v2 (do not delete)'!$C$8:$I$14,MATCH($B28,'Rates v2 (do not delete)'!$B$8:$B$14,0),MATCH($D28,'Rates v2 (do not delete)'!$C$7:$I$7,0))*VLOOKUP($D28,Rates!$B$39:$D$45,3,0)*K$8)*(1-0.10948905109489)*0.1), ((INDEX('Rates v2 (do not delete)'!$C$8:$I$14,MATCH($B28,'Rates v2 (do not delete)'!$B$8:$B$14,0),MATCH($D28,'Rates v2 (do not delete)'!$C$7:$I$7,0))*K$8)+((N28)*0.05)+(INDEX('Rates v2 (do not delete)'!$C$8:$I$14,MATCH($B28,'Rates v2 (do not delete)'!$B$8:$B$14,0),MATCH($D28,'Rates v2 (do not delete)'!$C$7:$I$7,0))*K$8)*(1-0.10948905109489)*0.1))),"")</f>
        <v/>
      </c>
      <c r="Y28" s="63" t="str">
        <f t="shared" si="5"/>
        <v/>
      </c>
      <c r="Z28" s="64" t="str">
        <f t="shared" si="12"/>
        <v/>
      </c>
    </row>
    <row r="29" spans="2:26">
      <c r="B29" s="76" t="str">
        <f>IF('INPUT - Weekly Breakdown'!B28="","",'INPUT - Weekly Breakdown'!B28)</f>
        <v/>
      </c>
      <c r="C29" s="76"/>
      <c r="D29" s="77"/>
      <c r="E29" s="78" t="str">
        <f>IF($B29="","",IF(F$8="Hours",VLOOKUP($B29,Rates!$B$28:$I$34,Rates!C$47,FALSE),VLOOKUP($B29,Rates!$B$16:$I$22,Rates!$C$47,FALSE)))</f>
        <v/>
      </c>
      <c r="F29" s="79" t="str">
        <f>IF(B29="","",IF(F$8="Hours", 'INPUT - Weekly Breakdown'!D28, 'INPUT - Weekly Breakdown'!D28))</f>
        <v/>
      </c>
      <c r="G29" s="120" t="str">
        <f t="shared" si="7"/>
        <v/>
      </c>
      <c r="H29" s="78" t="str">
        <f t="shared" si="0"/>
        <v/>
      </c>
      <c r="I29" s="80"/>
      <c r="J29" s="78" t="str">
        <f t="shared" si="8"/>
        <v/>
      </c>
      <c r="K29" s="78" t="str">
        <f t="shared" si="1"/>
        <v/>
      </c>
      <c r="L29" s="78" t="str">
        <f t="shared" si="2"/>
        <v/>
      </c>
      <c r="M29" s="111"/>
      <c r="N29" s="118" t="str">
        <f t="shared" si="9"/>
        <v/>
      </c>
      <c r="O29" s="121" t="str">
        <f t="shared" si="10"/>
        <v/>
      </c>
      <c r="P29" s="78" t="str">
        <f t="shared" si="11"/>
        <v/>
      </c>
      <c r="Q29" s="65"/>
      <c r="R29" s="78" t="str">
        <f>IF(B29="","",IF(F$8="Hours", VLOOKUP(B29,Rates!$B$5:$C$11,2,FALSE), VLOOKUP(B29,Rates!$B$5:$C$11,2,FALSE)*8))</f>
        <v/>
      </c>
      <c r="S29" s="78" t="str">
        <f>IF(B29="","",(L29*VLOOKUP(C$8,Rates!$B$39:$D$45,3,0)-R29))</f>
        <v/>
      </c>
      <c r="T29" s="65"/>
      <c r="U29" s="78" t="str">
        <f t="shared" si="3"/>
        <v/>
      </c>
      <c r="V29" s="78" t="str">
        <f t="shared" si="4"/>
        <v/>
      </c>
      <c r="W29" s="43"/>
      <c r="X29" s="63" t="str">
        <f>IFERROR(IF(F$8="Hours", IF($D29&lt;&gt;C$8, (((INDEX('Rates v2 (do not delete)'!$C$8:$I$14,MATCH('OUTPUT - Pricing model'!$B29,'Rates v2 (do not delete)'!$B$8:$B$14,0),MATCH('OUTPUT - Pricing model'!$D29,'Rates v2 (do not delete)'!$C$7:$I$7,0)))*VLOOKUP($D29,Rates!$B$39:$D$45,3,0))+((O29)*0.05)+(INDEX('Rates v2 (do not delete)'!$C$8:$I$14,MATCH('OUTPUT - Pricing model'!$B29,'Rates v2 (do not delete)'!$B$8:$B$14,0),MATCH('OUTPUT - Pricing model'!$D29,'Rates v2 (do not delete)'!$C$7:$I$7,0))*VLOOKUP($D29,Rates!$B$39:$D$45,3,0))*(1-0.10948905109489)*0.1), ((INDEX('Rates v2 (do not delete)'!$C$8:$I$14,MATCH('OUTPUT - Pricing model'!$B29,'Rates v2 (do not delete)'!$B$8:$B$14,0),MATCH('OUTPUT - Pricing model'!$D29,'Rates v2 (do not delete)'!$C$7:$I$7,0)))+((O29)*0.05)+(INDEX('Rates v2 (do not delete)'!$C$8:$I$14,MATCH('OUTPUT - Pricing model'!$B29,'Rates v2 (do not delete)'!$B$8:$B$14,0),MATCH('OUTPUT - Pricing model'!$D29,'Rates v2 (do not delete)'!$C$7:$I$7,0)))*(1-0.10948905109489)*0.1)),
IF($D29&lt;&gt;C$8, (((INDEX('Rates v2 (do not delete)'!$C$8:$I$14,MATCH($B29,'Rates v2 (do not delete)'!$B$8:$B$14,0),MATCH($D29,'Rates v2 (do not delete)'!$C$7:$I$7,0)))*VLOOKUP($D29,Rates!$B$39:$D$45,3,0)*K$8)+((N29)*0.05)+(INDEX('Rates v2 (do not delete)'!$C$8:$I$14,MATCH($B29,'Rates v2 (do not delete)'!$B$8:$B$14,0),MATCH($D29,'Rates v2 (do not delete)'!$C$7:$I$7,0))*VLOOKUP($D29,Rates!$B$39:$D$45,3,0)*K$8)*(1-0.10948905109489)*0.1), ((INDEX('Rates v2 (do not delete)'!$C$8:$I$14,MATCH($B29,'Rates v2 (do not delete)'!$B$8:$B$14,0),MATCH($D29,'Rates v2 (do not delete)'!$C$7:$I$7,0))*K$8)+((N29)*0.05)+(INDEX('Rates v2 (do not delete)'!$C$8:$I$14,MATCH($B29,'Rates v2 (do not delete)'!$B$8:$B$14,0),MATCH($D29,'Rates v2 (do not delete)'!$C$7:$I$7,0))*K$8)*(1-0.10948905109489)*0.1))),"")</f>
        <v/>
      </c>
      <c r="Y29" s="63" t="str">
        <f t="shared" si="5"/>
        <v/>
      </c>
      <c r="Z29" s="64" t="str">
        <f t="shared" si="12"/>
        <v/>
      </c>
    </row>
    <row r="30" spans="2:26" s="1" customFormat="1">
      <c r="B30" s="97" t="s">
        <v>26</v>
      </c>
      <c r="C30" s="97"/>
      <c r="D30" s="81"/>
      <c r="E30" s="81"/>
      <c r="F30" s="81">
        <f t="shared" ref="F30:K30" si="13">SUM(F11:F29)</f>
        <v>138</v>
      </c>
      <c r="G30" s="81">
        <f t="shared" si="13"/>
        <v>1104</v>
      </c>
      <c r="H30" s="82">
        <f t="shared" si="13"/>
        <v>240264</v>
      </c>
      <c r="I30" s="81">
        <f t="shared" si="13"/>
        <v>0</v>
      </c>
      <c r="J30" s="82">
        <f t="shared" si="13"/>
        <v>0</v>
      </c>
      <c r="K30" s="82">
        <f t="shared" si="13"/>
        <v>240264</v>
      </c>
      <c r="L30" s="82"/>
      <c r="M30" s="110"/>
      <c r="N30" s="110"/>
      <c r="O30" s="110"/>
      <c r="P30" s="82">
        <f>SUM(P11:P29)</f>
        <v>240264</v>
      </c>
      <c r="Q30" s="71"/>
      <c r="R30" s="82"/>
      <c r="S30" s="82"/>
      <c r="T30" s="71"/>
      <c r="U30" s="82"/>
      <c r="V30" s="82">
        <f>SUM(V11:V29)</f>
        <v>24026.400000000001</v>
      </c>
      <c r="W30" s="44"/>
      <c r="X30" s="42">
        <f>SUM(X11:X29)</f>
        <v>3837.5695964963506</v>
      </c>
      <c r="Y30" s="42">
        <f>SUM(Y11:Y29)</f>
        <v>84136.143701021894</v>
      </c>
      <c r="Z30" s="42"/>
    </row>
    <row r="31" spans="2:26"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</row>
    <row r="32" spans="2:26">
      <c r="B32" s="84" t="s">
        <v>27</v>
      </c>
      <c r="C32" s="85" t="s">
        <v>28</v>
      </c>
      <c r="D32" s="85" t="s">
        <v>29</v>
      </c>
      <c r="E32" s="85"/>
      <c r="F32" s="85"/>
      <c r="G32" s="85"/>
      <c r="H32" s="65"/>
      <c r="I32" s="89"/>
      <c r="J32" s="65"/>
      <c r="K32" s="65"/>
      <c r="L32" s="89"/>
      <c r="M32" s="65"/>
      <c r="N32" s="65"/>
      <c r="O32" s="65"/>
      <c r="P32" s="65"/>
      <c r="Q32" s="65"/>
      <c r="R32" s="65"/>
      <c r="S32" s="65"/>
      <c r="T32" s="65"/>
      <c r="U32" s="65"/>
    </row>
    <row r="33" spans="2:24">
      <c r="B33" s="65" t="s">
        <v>30</v>
      </c>
      <c r="C33" s="86">
        <f>C44*VLOOKUP(C$8,Rates!$B$39:$C$45,2,0)</f>
        <v>206.25</v>
      </c>
      <c r="D33" s="86">
        <f>VLOOKUP(C$8,Rates!$B$39:$D$45,3,0)*C33</f>
        <v>274.3125</v>
      </c>
      <c r="E33" s="85"/>
      <c r="F33" s="85"/>
      <c r="G33" s="85"/>
      <c r="H33" s="65"/>
      <c r="I33" s="65"/>
      <c r="J33" s="88"/>
      <c r="K33" s="65"/>
      <c r="L33" s="65"/>
      <c r="M33" s="89"/>
      <c r="N33" s="89"/>
      <c r="O33" s="65"/>
      <c r="P33" s="65"/>
      <c r="Q33" s="65"/>
      <c r="R33" s="65"/>
      <c r="S33" s="65"/>
      <c r="T33" s="65"/>
      <c r="U33" s="65"/>
      <c r="W33" s="40"/>
    </row>
    <row r="34" spans="2:24">
      <c r="B34" s="65" t="s">
        <v>31</v>
      </c>
      <c r="C34" s="86">
        <f>IF(F$8="Hours", P30/F30, P30/F30/K8)</f>
        <v>217.63043478260869</v>
      </c>
      <c r="D34" s="86">
        <f>VLOOKUP(C$8,Rates!$B$39:$D$45,3,0)*C34</f>
        <v>289.44847826086959</v>
      </c>
      <c r="E34" s="85"/>
      <c r="F34" s="106"/>
      <c r="G34" s="106"/>
      <c r="H34" s="65"/>
      <c r="I34" s="89"/>
      <c r="J34" s="65"/>
      <c r="K34" s="109"/>
      <c r="L34" s="109"/>
      <c r="M34" s="109"/>
      <c r="N34" s="109"/>
      <c r="O34" s="65"/>
      <c r="P34" s="65"/>
      <c r="Q34" s="65"/>
      <c r="R34" s="65"/>
      <c r="S34" s="65"/>
      <c r="T34" s="83"/>
      <c r="U34" s="65"/>
      <c r="W34" s="40"/>
    </row>
    <row r="35" spans="2:24">
      <c r="B35" s="71" t="s">
        <v>32</v>
      </c>
      <c r="C35" s="86">
        <f>C34-C33</f>
        <v>11.380434782608688</v>
      </c>
      <c r="D35" s="91">
        <f>D34-D33</f>
        <v>15.135978260869592</v>
      </c>
      <c r="E35" s="90"/>
      <c r="F35" s="85"/>
      <c r="G35" s="85"/>
      <c r="H35" s="65"/>
      <c r="I35" s="65"/>
      <c r="J35" s="65"/>
      <c r="K35" s="107"/>
      <c r="L35" s="107"/>
      <c r="M35" s="107"/>
      <c r="N35" s="107"/>
      <c r="O35" s="89"/>
      <c r="P35" s="65"/>
      <c r="Q35" s="65"/>
      <c r="R35" s="65"/>
      <c r="S35" s="65"/>
      <c r="T35" s="83"/>
      <c r="U35" s="65"/>
      <c r="W35" s="40"/>
    </row>
    <row r="36" spans="2:24">
      <c r="B36" s="71" t="s">
        <v>33</v>
      </c>
      <c r="C36" s="91">
        <f>P30-Y30</f>
        <v>156127.85629897809</v>
      </c>
      <c r="D36" s="86">
        <f>VLOOKUP(C$8,Rates!$B$39:$D$45,3,0)*$C36</f>
        <v>207650.04887764086</v>
      </c>
      <c r="E36" s="90"/>
      <c r="F36" s="85"/>
      <c r="G36" s="85"/>
      <c r="H36" s="65"/>
      <c r="I36" s="65"/>
      <c r="J36" s="65"/>
      <c r="K36" s="108"/>
      <c r="L36" s="108"/>
      <c r="M36" s="108"/>
      <c r="N36" s="108"/>
      <c r="O36" s="87"/>
      <c r="P36" s="65"/>
      <c r="Q36" s="65"/>
      <c r="R36" s="65"/>
      <c r="S36" s="65"/>
      <c r="T36" s="83"/>
      <c r="U36" s="65"/>
      <c r="W36" s="40"/>
      <c r="X36" s="40"/>
    </row>
    <row r="37" spans="2:24">
      <c r="B37" s="71"/>
      <c r="C37" s="91"/>
      <c r="D37" s="86"/>
      <c r="E37" s="90"/>
      <c r="F37" s="85"/>
      <c r="G37" s="85"/>
      <c r="H37" s="65"/>
      <c r="I37" s="65"/>
      <c r="J37" s="65"/>
      <c r="K37" s="108"/>
      <c r="L37" s="108"/>
      <c r="M37" s="108"/>
      <c r="N37" s="108"/>
      <c r="O37" s="87"/>
      <c r="P37" s="65"/>
      <c r="Q37" s="65"/>
      <c r="R37" s="65"/>
      <c r="S37" s="65"/>
      <c r="T37" s="83"/>
      <c r="U37" s="65"/>
      <c r="W37" s="40"/>
      <c r="X37" s="40"/>
    </row>
    <row r="38" spans="2:24">
      <c r="B38" s="71" t="s">
        <v>34</v>
      </c>
      <c r="C38" s="95">
        <v>0.6</v>
      </c>
      <c r="D38" s="95">
        <f>C38</f>
        <v>0.6</v>
      </c>
      <c r="E38" s="90"/>
      <c r="F38" s="85"/>
      <c r="G38" s="85"/>
      <c r="H38" s="65"/>
      <c r="I38" s="65"/>
      <c r="J38" s="65"/>
      <c r="K38" s="108"/>
      <c r="L38" s="108"/>
      <c r="M38" s="108"/>
      <c r="N38" s="108"/>
      <c r="O38" s="87"/>
      <c r="P38" s="65"/>
      <c r="Q38" s="65"/>
      <c r="R38" s="65"/>
      <c r="S38" s="65"/>
      <c r="T38" s="83"/>
      <c r="U38" s="65"/>
      <c r="W38" s="40"/>
      <c r="X38" s="40"/>
    </row>
    <row r="39" spans="2:24">
      <c r="B39" s="71" t="s">
        <v>35</v>
      </c>
      <c r="C39" s="88">
        <f>IFERROR((P30-Y30)/P30,0)</f>
        <v>0.64981793485073958</v>
      </c>
      <c r="D39" s="88">
        <f>D36/(VLOOKUP(C$8,Rates!$B$39:$D$45,3,0)*'OUTPUT - Pricing model'!P$30)</f>
        <v>0.64981793485073958</v>
      </c>
      <c r="E39" s="85"/>
      <c r="F39" s="85"/>
      <c r="G39" s="85"/>
      <c r="H39" s="65"/>
      <c r="I39" s="65"/>
      <c r="J39" s="65"/>
      <c r="K39" s="89"/>
      <c r="L39" s="89"/>
      <c r="M39" s="89"/>
      <c r="N39" s="89"/>
      <c r="O39" s="89"/>
      <c r="P39" s="65"/>
      <c r="Q39" s="65"/>
      <c r="R39" s="65"/>
      <c r="S39" s="65"/>
      <c r="T39" s="83"/>
      <c r="U39" s="65"/>
      <c r="W39" s="40"/>
    </row>
    <row r="40" spans="2:24">
      <c r="B40" s="71" t="s">
        <v>32</v>
      </c>
      <c r="C40" s="88">
        <f>C39-C38</f>
        <v>4.9817934850739598E-2</v>
      </c>
      <c r="D40" s="88">
        <f>D39-D38</f>
        <v>4.9817934850739598E-2</v>
      </c>
      <c r="E40" s="85"/>
      <c r="F40" s="85"/>
      <c r="G40" s="85"/>
      <c r="H40" s="65"/>
      <c r="I40" s="65"/>
      <c r="J40" s="65"/>
      <c r="K40" s="89"/>
      <c r="L40" s="89"/>
      <c r="M40" s="89"/>
      <c r="N40" s="89"/>
      <c r="O40" s="89"/>
      <c r="P40" s="65"/>
      <c r="Q40" s="65"/>
      <c r="R40" s="65"/>
      <c r="S40" s="65"/>
      <c r="T40" s="83"/>
      <c r="U40" s="65"/>
      <c r="W40" s="40"/>
    </row>
    <row r="41" spans="2:24">
      <c r="B41" s="65"/>
      <c r="C41" s="65"/>
      <c r="D41" s="85"/>
      <c r="E41" s="85"/>
      <c r="F41" s="85"/>
      <c r="G41" s="85"/>
      <c r="H41" s="65"/>
      <c r="I41" s="65"/>
      <c r="J41" s="65"/>
      <c r="K41" s="65"/>
      <c r="L41" s="65"/>
      <c r="M41" s="65"/>
      <c r="N41" s="65"/>
      <c r="O41" s="88"/>
      <c r="P41" s="65"/>
      <c r="Q41" s="65"/>
      <c r="R41" s="65"/>
      <c r="S41" s="83"/>
      <c r="T41" s="65"/>
      <c r="V41" s="40"/>
    </row>
    <row r="42" spans="2:24">
      <c r="B42" s="84" t="s">
        <v>36</v>
      </c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</row>
    <row r="43" spans="2:24" ht="17.100000000000001" hidden="1">
      <c r="B43" s="92" t="s">
        <v>37</v>
      </c>
      <c r="C43" s="93">
        <v>8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</row>
    <row r="44" spans="2:24" ht="17.100000000000001">
      <c r="B44" s="92" t="s">
        <v>38</v>
      </c>
      <c r="C44" s="94">
        <v>275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</row>
    <row r="45" spans="2:24">
      <c r="B45" s="90" t="s">
        <v>39</v>
      </c>
      <c r="C45" s="95">
        <v>0.1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4">
      <c r="B46" s="71" t="s">
        <v>40</v>
      </c>
      <c r="C46" s="88">
        <f>IFERROR(1-(K30/H30),0)</f>
        <v>0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4">
      <c r="B47" s="65"/>
      <c r="C47" s="108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</sheetData>
  <sheetProtection algorithmName="SHA-512" hashValue="bjTE26ZI9fQZUWZqTDeU2QXPUUbETerN9kUzgiR/mqqsIo9mLu5A1a/iz9bpswnuwYvTjeApzMaMxpWTBfMjhQ==" saltValue="G68nxhh5xtOq4eFrhBiiTg==" spinCount="100000" sheet="1" formatCells="0" formatColumns="0" formatRows="0" insertColumns="0" insertRows="0" insertHyperlinks="0" deleteColumns="0" selectLockedCells="1" sort="0" autoFilter="0" pivotTables="0"/>
  <conditionalFormatting sqref="C35:D35">
    <cfRule type="cellIs" dxfId="26" priority="66" operator="lessThan">
      <formula>0</formula>
    </cfRule>
  </conditionalFormatting>
  <conditionalFormatting sqref="C35:D35">
    <cfRule type="cellIs" dxfId="25" priority="64" operator="greaterThan">
      <formula>25</formula>
    </cfRule>
  </conditionalFormatting>
  <conditionalFormatting sqref="C35:D35">
    <cfRule type="cellIs" dxfId="24" priority="65" operator="between">
      <formula>0</formula>
      <formula>25</formula>
    </cfRule>
  </conditionalFormatting>
  <conditionalFormatting sqref="C36:D37 C39:D40">
    <cfRule type="cellIs" dxfId="23" priority="50" operator="lessThan">
      <formula>0</formula>
    </cfRule>
    <cfRule type="cellIs" dxfId="22" priority="51" operator="greaterThan">
      <formula>0</formula>
    </cfRule>
  </conditionalFormatting>
  <conditionalFormatting sqref="H11:H30 V11:V30 Y11:Y30 E11:E30 O11:O29 P11:P30 J11:L30">
    <cfRule type="expression" dxfId="21" priority="9">
      <formula>$C$8="¥"</formula>
    </cfRule>
    <cfRule type="expression" dxfId="20" priority="10">
      <formula>$C$8="C$"</formula>
    </cfRule>
    <cfRule type="expression" dxfId="19" priority="11">
      <formula>$C$8="S$"</formula>
    </cfRule>
    <cfRule type="expression" dxfId="18" priority="12">
      <formula>$C$8="A$"</formula>
    </cfRule>
    <cfRule type="expression" dxfId="17" priority="13">
      <formula>$C$8="$"</formula>
    </cfRule>
    <cfRule type="expression" dxfId="16" priority="14">
      <formula>$C$8="€"</formula>
    </cfRule>
    <cfRule type="expression" dxfId="15" priority="15">
      <formula>$C$8="£"</formula>
    </cfRule>
  </conditionalFormatting>
  <conditionalFormatting sqref="C32:C37">
    <cfRule type="expression" dxfId="14" priority="16">
      <formula>$C$8="¥"</formula>
    </cfRule>
    <cfRule type="expression" dxfId="13" priority="17">
      <formula>$C$8="C$"</formula>
    </cfRule>
    <cfRule type="expression" dxfId="12" priority="18">
      <formula>$C$8="S$"</formula>
    </cfRule>
    <cfRule type="expression" dxfId="11" priority="19">
      <formula>$C$8="A$"</formula>
    </cfRule>
    <cfRule type="expression" dxfId="10" priority="20">
      <formula>$C$8="$"</formula>
    </cfRule>
    <cfRule type="expression" dxfId="9" priority="21">
      <formula>$C$8="€"</formula>
    </cfRule>
    <cfRule type="expression" dxfId="8" priority="22">
      <formula>$C$8="£"</formula>
    </cfRule>
  </conditionalFormatting>
  <conditionalFormatting sqref="N11:N29 U11:U30">
    <cfRule type="expression" dxfId="7" priority="2">
      <formula>$C$8="¥"</formula>
    </cfRule>
    <cfRule type="expression" dxfId="6" priority="3">
      <formula>$C$8="C$"</formula>
    </cfRule>
    <cfRule type="expression" dxfId="5" priority="4">
      <formula>$C$8="S$"</formula>
    </cfRule>
    <cfRule type="expression" dxfId="4" priority="5">
      <formula>$C$8="A$"</formula>
    </cfRule>
    <cfRule type="expression" dxfId="3" priority="6">
      <formula>$C$8="$"</formula>
    </cfRule>
    <cfRule type="expression" dxfId="2" priority="7">
      <formula>$C$8="€"</formula>
    </cfRule>
    <cfRule type="expression" dxfId="1" priority="8">
      <formula>$C$8="£"</formula>
    </cfRule>
  </conditionalFormatting>
  <conditionalFormatting sqref="F11:F29 N11:N29">
    <cfRule type="expression" dxfId="0" priority="1">
      <formula>$F$8="Hours"</formula>
    </cfRule>
  </conditionalFormatting>
  <dataValidations count="1">
    <dataValidation type="list" allowBlank="1" showInputMessage="1" showErrorMessage="1" sqref="F8:G8" xr:uid="{F1EC3745-7E46-46CF-8F9D-A2297C1E4954}">
      <formula1>"Hours, Day"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69635B5-2E5D-3946-B8C7-A857B1015FB3}">
          <x14:formula1>
            <xm:f>mapping!$C$2:$C$8</xm:f>
          </x14:formula1>
          <xm:sqref>C8 D11:D29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AB20F-1448-674B-9D53-876D115E5E74}">
  <sheetPr codeName="Sheet2"/>
  <dimension ref="B2:Z32"/>
  <sheetViews>
    <sheetView showGridLines="0" zoomScale="110" workbookViewId="0">
      <selection activeCell="Q11" sqref="Q11"/>
    </sheetView>
  </sheetViews>
  <sheetFormatPr defaultColWidth="11" defaultRowHeight="15.95"/>
  <cols>
    <col min="1" max="1" width="4.375" customWidth="1"/>
    <col min="2" max="3" width="21.375" customWidth="1"/>
    <col min="4" max="4" width="21.125" customWidth="1"/>
    <col min="5" max="5" width="2.125" customWidth="1"/>
    <col min="6" max="6" width="11.375" customWidth="1"/>
    <col min="7" max="8" width="9.625" bestFit="1" customWidth="1"/>
    <col min="9" max="9" width="10.125" bestFit="1" customWidth="1"/>
    <col min="10" max="10" width="10.125" customWidth="1"/>
    <col min="11" max="11" width="11" customWidth="1"/>
    <col min="12" max="12" width="9.625" bestFit="1" customWidth="1"/>
    <col min="13" max="13" width="10.5" customWidth="1"/>
    <col min="14" max="17" width="9.875" customWidth="1"/>
    <col min="18" max="18" width="4.625" bestFit="1" customWidth="1"/>
    <col min="19" max="19" width="9.125" hidden="1" customWidth="1"/>
    <col min="20" max="20" width="7.625" hidden="1" customWidth="1"/>
    <col min="21" max="23" width="9.125" hidden="1" customWidth="1"/>
    <col min="24" max="26" width="0" hidden="1" customWidth="1"/>
  </cols>
  <sheetData>
    <row r="2" spans="2:26" ht="21">
      <c r="B2" s="2" t="s">
        <v>0</v>
      </c>
      <c r="C2" s="2"/>
      <c r="D2" s="3" t="s">
        <v>1</v>
      </c>
    </row>
    <row r="3" spans="2:26">
      <c r="B3" s="5"/>
      <c r="C3" s="5"/>
    </row>
    <row r="4" spans="2:26">
      <c r="B4" s="11"/>
      <c r="C4" s="11"/>
    </row>
    <row r="5" spans="2:26">
      <c r="B5" t="s">
        <v>41</v>
      </c>
      <c r="C5" s="10">
        <v>44256</v>
      </c>
      <c r="F5" s="123" t="str">
        <f>IF(ISBLANK('OUTPUT - Pricing model'!F8), 0, IF('OUTPUT - Pricing model'!F8="Day", "Days Per Week", "Hours Per Week"))</f>
        <v>Days Per Week</v>
      </c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</row>
    <row r="6" spans="2:26" ht="17.100000000000001" thickBot="1"/>
    <row r="7" spans="2:26" ht="17.100000000000001" hidden="1" thickBot="1">
      <c r="F7" s="9" t="s">
        <v>42</v>
      </c>
      <c r="T7" s="9" t="s">
        <v>43</v>
      </c>
    </row>
    <row r="8" spans="2:26" ht="20.100000000000001" hidden="1" customHeight="1" thickBot="1">
      <c r="F8" s="9">
        <v>1</v>
      </c>
      <c r="G8" s="6">
        <v>2</v>
      </c>
      <c r="H8" s="9">
        <v>3</v>
      </c>
      <c r="I8" s="6">
        <v>4</v>
      </c>
      <c r="J8" s="9">
        <v>5</v>
      </c>
      <c r="K8" s="6">
        <v>6</v>
      </c>
      <c r="L8" s="9">
        <v>7</v>
      </c>
      <c r="M8" s="6">
        <v>8</v>
      </c>
      <c r="N8" s="9">
        <v>9</v>
      </c>
      <c r="O8" s="6">
        <v>10</v>
      </c>
      <c r="P8" s="9">
        <v>11</v>
      </c>
      <c r="Q8" s="6">
        <v>12</v>
      </c>
      <c r="R8" s="20"/>
      <c r="T8" s="6">
        <v>13</v>
      </c>
      <c r="U8" s="6">
        <v>14</v>
      </c>
      <c r="V8" s="6">
        <v>15</v>
      </c>
      <c r="W8" s="6">
        <v>16</v>
      </c>
      <c r="X8" s="6">
        <v>17</v>
      </c>
      <c r="Y8" s="6">
        <v>18</v>
      </c>
    </row>
    <row r="9" spans="2:26" ht="27.95" customHeight="1" thickBot="1">
      <c r="B9" s="7" t="s">
        <v>44</v>
      </c>
      <c r="C9" s="7" t="s">
        <v>13</v>
      </c>
      <c r="D9" s="7" t="s">
        <v>45</v>
      </c>
      <c r="F9" s="99">
        <f>C5</f>
        <v>44256</v>
      </c>
      <c r="G9" s="99">
        <f>F9+7</f>
        <v>44263</v>
      </c>
      <c r="H9" s="99">
        <f t="shared" ref="H9:U9" si="0">G9+7</f>
        <v>44270</v>
      </c>
      <c r="I9" s="99">
        <f t="shared" si="0"/>
        <v>44277</v>
      </c>
      <c r="J9" s="99">
        <f t="shared" si="0"/>
        <v>44284</v>
      </c>
      <c r="K9" s="99">
        <f t="shared" si="0"/>
        <v>44291</v>
      </c>
      <c r="L9" s="99">
        <f t="shared" si="0"/>
        <v>44298</v>
      </c>
      <c r="M9" s="99">
        <f t="shared" si="0"/>
        <v>44305</v>
      </c>
      <c r="N9" s="99">
        <f t="shared" si="0"/>
        <v>44312</v>
      </c>
      <c r="O9" s="99">
        <f t="shared" si="0"/>
        <v>44319</v>
      </c>
      <c r="P9" s="99">
        <f t="shared" si="0"/>
        <v>44326</v>
      </c>
      <c r="Q9" s="99">
        <f t="shared" si="0"/>
        <v>44333</v>
      </c>
      <c r="R9" s="21" t="s">
        <v>26</v>
      </c>
      <c r="T9" s="7">
        <f>Q9+7</f>
        <v>44340</v>
      </c>
      <c r="U9" s="7">
        <f t="shared" si="0"/>
        <v>44347</v>
      </c>
      <c r="V9" s="7">
        <f t="shared" ref="V9:Y9" si="1">U9+7</f>
        <v>44354</v>
      </c>
      <c r="W9" s="7">
        <f t="shared" si="1"/>
        <v>44361</v>
      </c>
      <c r="X9" s="7">
        <f t="shared" si="1"/>
        <v>44368</v>
      </c>
      <c r="Y9" s="7">
        <f t="shared" si="1"/>
        <v>44375</v>
      </c>
      <c r="Z9" s="21" t="s">
        <v>26</v>
      </c>
    </row>
    <row r="10" spans="2:26">
      <c r="B10" s="18" t="s">
        <v>46</v>
      </c>
      <c r="C10" s="18" t="s">
        <v>47</v>
      </c>
      <c r="D10" s="8">
        <f>R10+Z10</f>
        <v>0</v>
      </c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22">
        <f>SUM(F10:Q10)</f>
        <v>0</v>
      </c>
      <c r="T10" s="25"/>
      <c r="U10" s="25"/>
      <c r="V10" s="25"/>
      <c r="W10" s="25"/>
      <c r="X10" s="25"/>
      <c r="Y10" s="25"/>
      <c r="Z10" s="22">
        <f>SUM(T10:Y10)</f>
        <v>0</v>
      </c>
    </row>
    <row r="11" spans="2:26">
      <c r="B11" s="19" t="s">
        <v>48</v>
      </c>
      <c r="C11" s="18" t="s">
        <v>49</v>
      </c>
      <c r="D11" s="8">
        <f t="shared" ref="D11:D22" si="2">R11+Z11</f>
        <v>26</v>
      </c>
      <c r="F11" s="19"/>
      <c r="G11" s="19">
        <v>3</v>
      </c>
      <c r="H11" s="19">
        <v>3</v>
      </c>
      <c r="I11" s="19">
        <v>3</v>
      </c>
      <c r="J11" s="19">
        <v>3</v>
      </c>
      <c r="K11" s="19">
        <v>3</v>
      </c>
      <c r="L11" s="19">
        <v>3</v>
      </c>
      <c r="M11" s="19">
        <v>2</v>
      </c>
      <c r="N11" s="19">
        <v>2</v>
      </c>
      <c r="O11" s="19">
        <v>2</v>
      </c>
      <c r="P11" s="19">
        <v>2</v>
      </c>
      <c r="Q11" s="26"/>
      <c r="R11" s="23">
        <f t="shared" ref="R11:R22" si="3">SUM(F11:Q11)</f>
        <v>26</v>
      </c>
      <c r="T11" s="26"/>
      <c r="U11" s="26"/>
      <c r="V11" s="26"/>
      <c r="W11" s="26"/>
      <c r="X11" s="26"/>
      <c r="Y11" s="26"/>
      <c r="Z11" s="23">
        <f t="shared" ref="Z11:Z22" si="4">SUM(T11:Y11)</f>
        <v>0</v>
      </c>
    </row>
    <row r="12" spans="2:26">
      <c r="B12" s="19" t="s">
        <v>50</v>
      </c>
      <c r="C12" s="18" t="s">
        <v>51</v>
      </c>
      <c r="D12" s="8">
        <f t="shared" si="2"/>
        <v>18</v>
      </c>
      <c r="F12" s="19"/>
      <c r="G12" s="19">
        <v>3</v>
      </c>
      <c r="H12" s="19">
        <v>3</v>
      </c>
      <c r="I12" s="19">
        <v>3</v>
      </c>
      <c r="J12" s="19">
        <v>3</v>
      </c>
      <c r="K12" s="19">
        <v>3</v>
      </c>
      <c r="L12" s="19">
        <v>3</v>
      </c>
      <c r="M12" s="19"/>
      <c r="N12" s="19"/>
      <c r="O12" s="19"/>
      <c r="P12" s="19"/>
      <c r="Q12" s="26"/>
      <c r="R12" s="23">
        <f t="shared" si="3"/>
        <v>18</v>
      </c>
      <c r="T12" s="26"/>
      <c r="U12" s="26"/>
      <c r="V12" s="26"/>
      <c r="W12" s="26"/>
      <c r="X12" s="26"/>
      <c r="Y12" s="26"/>
      <c r="Z12" s="23">
        <f t="shared" si="4"/>
        <v>0</v>
      </c>
    </row>
    <row r="13" spans="2:26">
      <c r="B13" s="19" t="s">
        <v>50</v>
      </c>
      <c r="C13" s="18"/>
      <c r="D13" s="8">
        <f t="shared" si="2"/>
        <v>30</v>
      </c>
      <c r="F13" s="19"/>
      <c r="G13" s="19">
        <v>3</v>
      </c>
      <c r="H13" s="19">
        <v>3</v>
      </c>
      <c r="I13" s="19">
        <v>3</v>
      </c>
      <c r="J13" s="19">
        <v>3</v>
      </c>
      <c r="K13" s="19">
        <v>3</v>
      </c>
      <c r="L13" s="19">
        <v>3</v>
      </c>
      <c r="M13" s="19">
        <v>3</v>
      </c>
      <c r="N13" s="19">
        <v>3</v>
      </c>
      <c r="O13" s="19">
        <v>3</v>
      </c>
      <c r="P13" s="19">
        <v>3</v>
      </c>
      <c r="Q13" s="26"/>
      <c r="R13" s="23">
        <f t="shared" si="3"/>
        <v>30</v>
      </c>
      <c r="T13" s="26"/>
      <c r="U13" s="26"/>
      <c r="V13" s="26"/>
      <c r="W13" s="26"/>
      <c r="X13" s="26"/>
      <c r="Y13" s="26"/>
      <c r="Z13" s="23">
        <f t="shared" si="4"/>
        <v>0</v>
      </c>
    </row>
    <row r="14" spans="2:26">
      <c r="B14" s="18"/>
      <c r="C14" s="18"/>
      <c r="D14" s="8">
        <f t="shared" si="2"/>
        <v>0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6"/>
      <c r="R14" s="23">
        <f t="shared" si="3"/>
        <v>0</v>
      </c>
      <c r="T14" s="26"/>
      <c r="U14" s="26"/>
      <c r="V14" s="26"/>
      <c r="W14" s="26"/>
      <c r="X14" s="26"/>
      <c r="Y14" s="26"/>
      <c r="Z14" s="23">
        <f t="shared" si="4"/>
        <v>0</v>
      </c>
    </row>
    <row r="15" spans="2:26">
      <c r="B15" s="19" t="s">
        <v>52</v>
      </c>
      <c r="C15" s="18"/>
      <c r="D15" s="8">
        <f t="shared" si="2"/>
        <v>34</v>
      </c>
      <c r="F15" s="19"/>
      <c r="G15" s="19">
        <v>1</v>
      </c>
      <c r="H15" s="19">
        <v>1</v>
      </c>
      <c r="I15" s="19">
        <v>1</v>
      </c>
      <c r="J15" s="19">
        <v>1</v>
      </c>
      <c r="K15" s="19">
        <v>5</v>
      </c>
      <c r="L15" s="19">
        <v>5</v>
      </c>
      <c r="M15" s="19">
        <v>5</v>
      </c>
      <c r="N15" s="19">
        <v>5</v>
      </c>
      <c r="O15" s="19">
        <v>5</v>
      </c>
      <c r="P15" s="19">
        <v>5</v>
      </c>
      <c r="Q15" s="26"/>
      <c r="R15" s="23">
        <f t="shared" si="3"/>
        <v>34</v>
      </c>
      <c r="T15" s="26"/>
      <c r="U15" s="26"/>
      <c r="V15" s="26"/>
      <c r="W15" s="26"/>
      <c r="X15" s="26"/>
      <c r="Y15" s="26"/>
      <c r="Z15" s="23">
        <f t="shared" si="4"/>
        <v>0</v>
      </c>
    </row>
    <row r="16" spans="2:26">
      <c r="B16" s="19" t="s">
        <v>52</v>
      </c>
      <c r="C16" s="18"/>
      <c r="D16" s="8">
        <f t="shared" si="2"/>
        <v>30</v>
      </c>
      <c r="F16" s="19"/>
      <c r="G16" s="19"/>
      <c r="H16" s="19"/>
      <c r="I16" s="19"/>
      <c r="J16" s="19"/>
      <c r="K16" s="19">
        <v>5</v>
      </c>
      <c r="L16" s="19">
        <v>5</v>
      </c>
      <c r="M16" s="19">
        <v>5</v>
      </c>
      <c r="N16" s="19">
        <v>5</v>
      </c>
      <c r="O16" s="19">
        <v>5</v>
      </c>
      <c r="P16" s="19">
        <v>5</v>
      </c>
      <c r="Q16" s="26"/>
      <c r="R16" s="23">
        <f t="shared" si="3"/>
        <v>30</v>
      </c>
      <c r="T16" s="26"/>
      <c r="U16" s="26"/>
      <c r="V16" s="26"/>
      <c r="W16" s="26"/>
      <c r="X16" s="26"/>
      <c r="Y16" s="26"/>
      <c r="Z16" s="23">
        <f t="shared" si="4"/>
        <v>0</v>
      </c>
    </row>
    <row r="17" spans="2:26">
      <c r="B17" s="19"/>
      <c r="C17" s="18"/>
      <c r="D17" s="8">
        <f t="shared" si="2"/>
        <v>0</v>
      </c>
      <c r="F17" s="19"/>
      <c r="G17" s="19"/>
      <c r="H17" s="19"/>
      <c r="I17" s="19"/>
      <c r="J17" s="19"/>
      <c r="K17" s="19"/>
      <c r="L17" s="19"/>
      <c r="M17" s="26"/>
      <c r="N17" s="26"/>
      <c r="O17" s="26"/>
      <c r="P17" s="26"/>
      <c r="Q17" s="26"/>
      <c r="R17" s="23">
        <f t="shared" si="3"/>
        <v>0</v>
      </c>
      <c r="T17" s="26"/>
      <c r="U17" s="26"/>
      <c r="V17" s="26"/>
      <c r="W17" s="26"/>
      <c r="X17" s="26"/>
      <c r="Y17" s="26"/>
      <c r="Z17" s="23">
        <f t="shared" si="4"/>
        <v>0</v>
      </c>
    </row>
    <row r="18" spans="2:26">
      <c r="B18" s="19"/>
      <c r="C18" s="18"/>
      <c r="D18" s="8">
        <f t="shared" si="2"/>
        <v>0</v>
      </c>
      <c r="F18" s="19"/>
      <c r="G18" s="19"/>
      <c r="H18" s="19"/>
      <c r="I18" s="19"/>
      <c r="J18" s="19"/>
      <c r="K18" s="19"/>
      <c r="L18" s="19"/>
      <c r="M18" s="26"/>
      <c r="N18" s="26"/>
      <c r="O18" s="26"/>
      <c r="P18" s="26"/>
      <c r="Q18" s="26"/>
      <c r="R18" s="23">
        <f t="shared" si="3"/>
        <v>0</v>
      </c>
      <c r="T18" s="26"/>
      <c r="U18" s="26"/>
      <c r="V18" s="26"/>
      <c r="W18" s="26"/>
      <c r="X18" s="26"/>
      <c r="Y18" s="26"/>
      <c r="Z18" s="23"/>
    </row>
    <row r="19" spans="2:26">
      <c r="B19" s="19"/>
      <c r="C19" s="18"/>
      <c r="D19" s="8">
        <f t="shared" si="2"/>
        <v>0</v>
      </c>
      <c r="F19" s="19"/>
      <c r="G19" s="19"/>
      <c r="H19" s="19"/>
      <c r="I19" s="19"/>
      <c r="J19" s="19"/>
      <c r="K19" s="19"/>
      <c r="L19" s="19"/>
      <c r="M19" s="26"/>
      <c r="N19" s="26"/>
      <c r="O19" s="26"/>
      <c r="P19" s="26"/>
      <c r="Q19" s="26"/>
      <c r="R19" s="23">
        <f t="shared" si="3"/>
        <v>0</v>
      </c>
      <c r="T19" s="26"/>
      <c r="U19" s="26"/>
      <c r="V19" s="26"/>
      <c r="W19" s="26"/>
      <c r="X19" s="26"/>
      <c r="Y19" s="26"/>
      <c r="Z19" s="23"/>
    </row>
    <row r="20" spans="2:26">
      <c r="B20" s="19"/>
      <c r="C20" s="18"/>
      <c r="D20" s="8">
        <f t="shared" si="2"/>
        <v>0</v>
      </c>
      <c r="F20" s="19"/>
      <c r="G20" s="19"/>
      <c r="H20" s="19"/>
      <c r="I20" s="19"/>
      <c r="J20" s="19"/>
      <c r="K20" s="19"/>
      <c r="L20" s="19"/>
      <c r="M20" s="26"/>
      <c r="N20" s="26"/>
      <c r="O20" s="26"/>
      <c r="P20" s="26"/>
      <c r="Q20" s="26"/>
      <c r="R20" s="23">
        <f t="shared" si="3"/>
        <v>0</v>
      </c>
      <c r="T20" s="26"/>
      <c r="U20" s="26"/>
      <c r="V20" s="26"/>
      <c r="W20" s="26"/>
      <c r="X20" s="26"/>
      <c r="Y20" s="26"/>
      <c r="Z20" s="23">
        <f t="shared" si="4"/>
        <v>0</v>
      </c>
    </row>
    <row r="21" spans="2:26">
      <c r="B21" s="19"/>
      <c r="C21" s="18"/>
      <c r="D21" s="8">
        <f t="shared" si="2"/>
        <v>0</v>
      </c>
      <c r="F21" s="19"/>
      <c r="G21" s="19"/>
      <c r="H21" s="19"/>
      <c r="I21" s="19"/>
      <c r="J21" s="19"/>
      <c r="K21" s="19"/>
      <c r="L21" s="19"/>
      <c r="M21" s="26"/>
      <c r="N21" s="26"/>
      <c r="O21" s="26"/>
      <c r="P21" s="26"/>
      <c r="Q21" s="26"/>
      <c r="R21" s="23">
        <f t="shared" si="3"/>
        <v>0</v>
      </c>
      <c r="T21" s="26"/>
      <c r="U21" s="26"/>
      <c r="V21" s="26"/>
      <c r="W21" s="26"/>
      <c r="X21" s="26"/>
      <c r="Y21" s="26"/>
      <c r="Z21" s="23">
        <f t="shared" si="4"/>
        <v>0</v>
      </c>
    </row>
    <row r="22" spans="2:26">
      <c r="B22" s="19"/>
      <c r="C22" s="18"/>
      <c r="D22" s="8">
        <f t="shared" si="2"/>
        <v>0</v>
      </c>
      <c r="F22" s="19"/>
      <c r="G22" s="19"/>
      <c r="H22" s="19"/>
      <c r="I22" s="19"/>
      <c r="J22" s="19"/>
      <c r="K22" s="19"/>
      <c r="L22" s="19"/>
      <c r="M22" s="26"/>
      <c r="N22" s="26"/>
      <c r="O22" s="26"/>
      <c r="P22" s="26"/>
      <c r="Q22" s="26"/>
      <c r="R22" s="23">
        <f t="shared" si="3"/>
        <v>0</v>
      </c>
      <c r="T22" s="26"/>
      <c r="U22" s="26"/>
      <c r="V22" s="26"/>
      <c r="W22" s="26"/>
      <c r="X22" s="26"/>
      <c r="Y22" s="26"/>
      <c r="Z22" s="23">
        <f t="shared" si="4"/>
        <v>0</v>
      </c>
    </row>
    <row r="23" spans="2:26">
      <c r="B23" s="19"/>
      <c r="C23" s="18"/>
      <c r="D23" s="8">
        <f t="shared" ref="D23:D28" si="5">R23+Z23</f>
        <v>0</v>
      </c>
      <c r="F23" s="19"/>
      <c r="G23" s="19"/>
      <c r="H23" s="19"/>
      <c r="I23" s="19"/>
      <c r="J23" s="19"/>
      <c r="K23" s="19"/>
      <c r="L23" s="19"/>
      <c r="M23" s="26"/>
      <c r="N23" s="26"/>
      <c r="O23" s="26"/>
      <c r="P23" s="26"/>
      <c r="Q23" s="26"/>
      <c r="R23" s="23">
        <f t="shared" ref="R23:R28" si="6">SUM(F23:Q23)</f>
        <v>0</v>
      </c>
      <c r="T23" s="61"/>
      <c r="U23" s="61"/>
      <c r="V23" s="61"/>
      <c r="W23" s="61"/>
      <c r="X23" s="61"/>
      <c r="Y23" s="61"/>
      <c r="Z23" s="62"/>
    </row>
    <row r="24" spans="2:26">
      <c r="B24" s="19"/>
      <c r="C24" s="18"/>
      <c r="D24" s="8">
        <f t="shared" si="5"/>
        <v>0</v>
      </c>
      <c r="F24" s="19"/>
      <c r="G24" s="19"/>
      <c r="H24" s="19"/>
      <c r="I24" s="19"/>
      <c r="J24" s="19"/>
      <c r="K24" s="19"/>
      <c r="L24" s="19"/>
      <c r="M24" s="26"/>
      <c r="N24" s="26"/>
      <c r="O24" s="26"/>
      <c r="P24" s="26"/>
      <c r="Q24" s="26"/>
      <c r="R24" s="23">
        <f t="shared" si="6"/>
        <v>0</v>
      </c>
      <c r="T24" s="61"/>
      <c r="U24" s="61"/>
      <c r="V24" s="61"/>
      <c r="W24" s="61"/>
      <c r="X24" s="61"/>
      <c r="Y24" s="61"/>
      <c r="Z24" s="62"/>
    </row>
    <row r="25" spans="2:26">
      <c r="B25" s="19"/>
      <c r="C25" s="18"/>
      <c r="D25" s="8">
        <f t="shared" si="5"/>
        <v>0</v>
      </c>
      <c r="F25" s="19"/>
      <c r="G25" s="19"/>
      <c r="H25" s="19"/>
      <c r="I25" s="19"/>
      <c r="J25" s="19"/>
      <c r="K25" s="19"/>
      <c r="L25" s="19"/>
      <c r="M25" s="26"/>
      <c r="N25" s="26"/>
      <c r="O25" s="26"/>
      <c r="P25" s="26"/>
      <c r="Q25" s="26"/>
      <c r="R25" s="23">
        <f t="shared" si="6"/>
        <v>0</v>
      </c>
      <c r="T25" s="61"/>
      <c r="U25" s="61"/>
      <c r="V25" s="61"/>
      <c r="W25" s="61"/>
      <c r="X25" s="61"/>
      <c r="Y25" s="61"/>
      <c r="Z25" s="62"/>
    </row>
    <row r="26" spans="2:26">
      <c r="B26" s="19"/>
      <c r="C26" s="18"/>
      <c r="D26" s="8">
        <f t="shared" si="5"/>
        <v>0</v>
      </c>
      <c r="F26" s="19"/>
      <c r="G26" s="19"/>
      <c r="H26" s="19"/>
      <c r="I26" s="19"/>
      <c r="J26" s="19"/>
      <c r="K26" s="19"/>
      <c r="L26" s="19"/>
      <c r="M26" s="26"/>
      <c r="N26" s="26"/>
      <c r="O26" s="26"/>
      <c r="P26" s="26"/>
      <c r="Q26" s="26"/>
      <c r="R26" s="23">
        <f t="shared" si="6"/>
        <v>0</v>
      </c>
      <c r="T26" s="61"/>
      <c r="U26" s="61"/>
      <c r="V26" s="61"/>
      <c r="W26" s="61"/>
      <c r="X26" s="61"/>
      <c r="Y26" s="61"/>
      <c r="Z26" s="62"/>
    </row>
    <row r="27" spans="2:26">
      <c r="B27" s="19"/>
      <c r="C27" s="18"/>
      <c r="D27" s="8">
        <f t="shared" si="5"/>
        <v>0</v>
      </c>
      <c r="F27" s="19"/>
      <c r="G27" s="19"/>
      <c r="H27" s="19"/>
      <c r="I27" s="19"/>
      <c r="J27" s="19"/>
      <c r="K27" s="19"/>
      <c r="L27" s="19"/>
      <c r="M27" s="26"/>
      <c r="N27" s="26"/>
      <c r="O27" s="26"/>
      <c r="P27" s="26"/>
      <c r="Q27" s="26"/>
      <c r="R27" s="23">
        <f t="shared" si="6"/>
        <v>0</v>
      </c>
      <c r="T27" s="61"/>
      <c r="U27" s="61"/>
      <c r="V27" s="61"/>
      <c r="W27" s="61"/>
      <c r="X27" s="61"/>
      <c r="Y27" s="61"/>
      <c r="Z27" s="62"/>
    </row>
    <row r="28" spans="2:26">
      <c r="B28" s="19"/>
      <c r="C28" s="18"/>
      <c r="D28" s="8">
        <f t="shared" si="5"/>
        <v>0</v>
      </c>
      <c r="F28" s="19"/>
      <c r="G28" s="19"/>
      <c r="H28" s="19"/>
      <c r="I28" s="19"/>
      <c r="J28" s="19"/>
      <c r="K28" s="19"/>
      <c r="L28" s="19"/>
      <c r="M28" s="26"/>
      <c r="N28" s="26"/>
      <c r="O28" s="26"/>
      <c r="P28" s="26"/>
      <c r="Q28" s="26"/>
      <c r="R28" s="23">
        <f t="shared" si="6"/>
        <v>0</v>
      </c>
      <c r="T28" s="61"/>
      <c r="U28" s="61"/>
      <c r="V28" s="61"/>
      <c r="W28" s="61"/>
      <c r="X28" s="61"/>
      <c r="Y28" s="61"/>
      <c r="Z28" s="62"/>
    </row>
    <row r="30" spans="2:26">
      <c r="B30" s="27" t="s">
        <v>53</v>
      </c>
      <c r="C30" s="27"/>
    </row>
    <row r="31" spans="2:26">
      <c r="B31" t="s">
        <v>54</v>
      </c>
    </row>
    <row r="32" spans="2:26">
      <c r="B32" t="s">
        <v>55</v>
      </c>
    </row>
  </sheetData>
  <mergeCells count="1">
    <mergeCell ref="F5:Q5"/>
  </mergeCells>
  <dataValidations count="1">
    <dataValidation type="list" allowBlank="1" showInputMessage="1" showErrorMessage="1" sqref="B10:B28" xr:uid="{D7FECB35-3F51-6640-A22C-24BF6F1056E1}">
      <formula1>level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3245-9E84-44D6-8C36-794ADE1E93F9}">
  <sheetPr codeName="Sheet3"/>
  <dimension ref="B3:L48"/>
  <sheetViews>
    <sheetView workbookViewId="0">
      <selection activeCell="F34" sqref="F34"/>
    </sheetView>
  </sheetViews>
  <sheetFormatPr defaultColWidth="9" defaultRowHeight="15.95"/>
  <cols>
    <col min="1" max="1" width="9" style="28"/>
    <col min="2" max="2" width="22.375" style="28" bestFit="1" customWidth="1"/>
    <col min="3" max="8" width="15" style="28" customWidth="1"/>
    <col min="9" max="9" width="13.625" style="28" customWidth="1"/>
    <col min="10" max="16384" width="9" style="28"/>
  </cols>
  <sheetData>
    <row r="3" spans="2:12" hidden="1">
      <c r="B3" s="29" t="s">
        <v>56</v>
      </c>
      <c r="C3" s="30"/>
      <c r="D3" s="31"/>
    </row>
    <row r="4" spans="2:12" ht="33.950000000000003" hidden="1">
      <c r="C4" s="4" t="s">
        <v>57</v>
      </c>
    </row>
    <row r="5" spans="2:12" hidden="1">
      <c r="B5" s="32" t="s">
        <v>58</v>
      </c>
      <c r="C5" s="12">
        <v>425</v>
      </c>
      <c r="D5" s="41"/>
    </row>
    <row r="6" spans="2:12" hidden="1">
      <c r="B6" s="24" t="s">
        <v>46</v>
      </c>
      <c r="C6" s="13">
        <v>360</v>
      </c>
      <c r="D6" s="41"/>
    </row>
    <row r="7" spans="2:12" hidden="1">
      <c r="B7" s="24" t="s">
        <v>48</v>
      </c>
      <c r="C7" s="13">
        <v>315</v>
      </c>
      <c r="D7" s="41"/>
    </row>
    <row r="8" spans="2:12" hidden="1">
      <c r="B8" s="24" t="s">
        <v>50</v>
      </c>
      <c r="C8" s="13">
        <v>275</v>
      </c>
      <c r="D8" s="41"/>
    </row>
    <row r="9" spans="2:12" hidden="1">
      <c r="B9" s="33" t="s">
        <v>59</v>
      </c>
      <c r="C9" s="14">
        <v>240</v>
      </c>
      <c r="D9" s="41"/>
    </row>
    <row r="10" spans="2:12" hidden="1">
      <c r="B10" s="32" t="s">
        <v>52</v>
      </c>
      <c r="C10" s="12">
        <v>180</v>
      </c>
      <c r="D10" s="41"/>
    </row>
    <row r="11" spans="2:12" hidden="1">
      <c r="B11" s="33" t="s">
        <v>60</v>
      </c>
      <c r="C11" s="14">
        <v>175</v>
      </c>
      <c r="D11" s="41"/>
    </row>
    <row r="12" spans="2:12" hidden="1"/>
    <row r="13" spans="2:12">
      <c r="B13" s="29"/>
      <c r="C13" s="124" t="s">
        <v>61</v>
      </c>
      <c r="D13" s="124"/>
      <c r="E13" s="124"/>
      <c r="F13" s="124"/>
      <c r="G13" s="124"/>
      <c r="H13" s="124"/>
      <c r="I13" s="124"/>
    </row>
    <row r="14" spans="2:12" ht="3.75" customHeight="1">
      <c r="B14" s="29"/>
      <c r="C14" s="122"/>
      <c r="D14" s="122"/>
      <c r="E14" s="122"/>
      <c r="F14" s="122"/>
      <c r="G14" s="122"/>
      <c r="H14" s="122"/>
      <c r="I14" s="122"/>
    </row>
    <row r="15" spans="2:12" ht="17.100000000000001">
      <c r="C15" s="4" t="s">
        <v>29</v>
      </c>
      <c r="D15" s="4" t="s">
        <v>62</v>
      </c>
      <c r="E15" s="4" t="s">
        <v>63</v>
      </c>
      <c r="F15" s="4" t="s">
        <v>64</v>
      </c>
      <c r="G15" s="4" t="s">
        <v>65</v>
      </c>
      <c r="H15" s="4" t="s">
        <v>66</v>
      </c>
      <c r="I15" s="4" t="s">
        <v>67</v>
      </c>
    </row>
    <row r="16" spans="2:12">
      <c r="B16" s="32" t="str">
        <f>B5</f>
        <v>BC - Leader</v>
      </c>
      <c r="C16" s="102">
        <f>C28*$C$24</f>
        <v>3400</v>
      </c>
      <c r="D16" s="115">
        <f t="shared" ref="D16:I16" si="0">D28*$C$24</f>
        <v>2950</v>
      </c>
      <c r="E16" s="115">
        <f t="shared" si="0"/>
        <v>3250</v>
      </c>
      <c r="F16" s="102">
        <f t="shared" si="0"/>
        <v>4522</v>
      </c>
      <c r="G16" s="115">
        <f t="shared" si="0"/>
        <v>353838</v>
      </c>
      <c r="H16" s="102">
        <f t="shared" si="0"/>
        <v>4318</v>
      </c>
      <c r="I16" s="102">
        <f t="shared" si="0"/>
        <v>4386</v>
      </c>
      <c r="K16" s="37"/>
      <c r="L16" s="37"/>
    </row>
    <row r="17" spans="2:12">
      <c r="B17" s="32" t="str">
        <f t="shared" ref="B17:B22" si="1">B6</f>
        <v>BC - Principal</v>
      </c>
      <c r="C17" s="103">
        <f t="shared" ref="C17:I17" si="2">C29*$C$24</f>
        <v>2880</v>
      </c>
      <c r="D17" s="116">
        <f t="shared" si="2"/>
        <v>2500</v>
      </c>
      <c r="E17" s="116">
        <f t="shared" si="2"/>
        <v>2750</v>
      </c>
      <c r="F17" s="102">
        <f t="shared" si="2"/>
        <v>3830.4</v>
      </c>
      <c r="G17" s="115">
        <f t="shared" si="2"/>
        <v>299721.59999999998</v>
      </c>
      <c r="H17" s="102">
        <f t="shared" si="2"/>
        <v>3657.6</v>
      </c>
      <c r="I17" s="102">
        <f t="shared" si="2"/>
        <v>3715.2000000000003</v>
      </c>
      <c r="K17" s="37"/>
      <c r="L17" s="37"/>
    </row>
    <row r="18" spans="2:12">
      <c r="B18" s="32" t="str">
        <f t="shared" si="1"/>
        <v>BC - Senior Consultant</v>
      </c>
      <c r="C18" s="103">
        <f t="shared" ref="C18:I18" si="3">C30*$C$24</f>
        <v>2520</v>
      </c>
      <c r="D18" s="116">
        <f t="shared" si="3"/>
        <v>2100</v>
      </c>
      <c r="E18" s="116">
        <f t="shared" si="3"/>
        <v>2300</v>
      </c>
      <c r="F18" s="102">
        <f t="shared" si="3"/>
        <v>3351.6000000000004</v>
      </c>
      <c r="G18" s="115">
        <f t="shared" si="3"/>
        <v>262256.39999999997</v>
      </c>
      <c r="H18" s="102">
        <f t="shared" si="3"/>
        <v>3200.4</v>
      </c>
      <c r="I18" s="102">
        <f t="shared" si="3"/>
        <v>3250.8</v>
      </c>
      <c r="K18" s="37"/>
      <c r="L18" s="37"/>
    </row>
    <row r="19" spans="2:12">
      <c r="B19" s="32" t="str">
        <f t="shared" si="1"/>
        <v>BC - Consultant</v>
      </c>
      <c r="C19" s="103">
        <f t="shared" ref="C19:I19" si="4">C31*$C$24</f>
        <v>2200</v>
      </c>
      <c r="D19" s="116">
        <f t="shared" si="4"/>
        <v>1800</v>
      </c>
      <c r="E19" s="116">
        <f t="shared" si="4"/>
        <v>1950</v>
      </c>
      <c r="F19" s="102">
        <f t="shared" si="4"/>
        <v>2926</v>
      </c>
      <c r="G19" s="115">
        <f t="shared" si="4"/>
        <v>228953.99999999997</v>
      </c>
      <c r="H19" s="102">
        <f t="shared" si="4"/>
        <v>2794</v>
      </c>
      <c r="I19" s="102">
        <f t="shared" si="4"/>
        <v>2838</v>
      </c>
      <c r="K19" s="37"/>
      <c r="L19" s="37"/>
    </row>
    <row r="20" spans="2:12">
      <c r="B20" s="32" t="str">
        <f t="shared" si="1"/>
        <v>BC - Associate</v>
      </c>
      <c r="C20" s="104">
        <f t="shared" ref="C20:I20" si="5">C32*$C$24</f>
        <v>1920</v>
      </c>
      <c r="D20" s="117">
        <f t="shared" si="5"/>
        <v>1250</v>
      </c>
      <c r="E20" s="117">
        <f t="shared" si="5"/>
        <v>1350</v>
      </c>
      <c r="F20" s="102">
        <f t="shared" si="5"/>
        <v>2553.6000000000004</v>
      </c>
      <c r="G20" s="115">
        <f t="shared" si="5"/>
        <v>199814.39999999999</v>
      </c>
      <c r="H20" s="102">
        <f t="shared" si="5"/>
        <v>2438.4</v>
      </c>
      <c r="I20" s="102">
        <f t="shared" si="5"/>
        <v>2476.8000000000002</v>
      </c>
      <c r="K20" s="37"/>
      <c r="L20" s="37"/>
    </row>
    <row r="21" spans="2:12">
      <c r="B21" s="32" t="str">
        <f t="shared" si="1"/>
        <v>Services - Architect</v>
      </c>
      <c r="C21" s="102">
        <f t="shared" ref="C21:I21" si="6">C33*$C$24</f>
        <v>1440</v>
      </c>
      <c r="D21" s="115">
        <f t="shared" si="6"/>
        <v>1551</v>
      </c>
      <c r="E21" s="115">
        <f t="shared" si="6"/>
        <v>1551</v>
      </c>
      <c r="F21" s="102">
        <f t="shared" si="6"/>
        <v>1915.2</v>
      </c>
      <c r="G21" s="115">
        <f t="shared" si="6"/>
        <v>149860.79999999999</v>
      </c>
      <c r="H21" s="102">
        <f t="shared" si="6"/>
        <v>1828.8</v>
      </c>
      <c r="I21" s="102">
        <f t="shared" si="6"/>
        <v>1857.6000000000001</v>
      </c>
      <c r="K21" s="37"/>
      <c r="L21" s="37"/>
    </row>
    <row r="22" spans="2:12">
      <c r="B22" s="32" t="str">
        <f t="shared" si="1"/>
        <v>Services - Consultant</v>
      </c>
      <c r="C22" s="104">
        <f t="shared" ref="C22:I22" si="7">C34*$C$24</f>
        <v>1400</v>
      </c>
      <c r="D22" s="117">
        <f t="shared" si="7"/>
        <v>1552</v>
      </c>
      <c r="E22" s="117">
        <f t="shared" si="7"/>
        <v>1552</v>
      </c>
      <c r="F22" s="102">
        <f t="shared" si="7"/>
        <v>1862</v>
      </c>
      <c r="G22" s="115">
        <f t="shared" si="7"/>
        <v>145698</v>
      </c>
      <c r="H22" s="102">
        <f t="shared" si="7"/>
        <v>1778</v>
      </c>
      <c r="I22" s="102">
        <f t="shared" si="7"/>
        <v>1806</v>
      </c>
      <c r="K22" s="37"/>
      <c r="L22" s="37"/>
    </row>
    <row r="23" spans="2:12">
      <c r="C23" s="105"/>
    </row>
    <row r="24" spans="2:12">
      <c r="B24" s="28" t="s">
        <v>37</v>
      </c>
      <c r="C24" s="16">
        <f>'OUTPUT - Pricing model'!K8</f>
        <v>8</v>
      </c>
    </row>
    <row r="25" spans="2:12">
      <c r="B25" s="29"/>
      <c r="C25" s="124" t="s">
        <v>68</v>
      </c>
      <c r="D25" s="124"/>
      <c r="E25" s="124"/>
      <c r="F25" s="124"/>
      <c r="G25" s="124"/>
      <c r="H25" s="124"/>
      <c r="I25" s="124"/>
    </row>
    <row r="26" spans="2:12">
      <c r="B26" s="29"/>
      <c r="C26" s="122"/>
      <c r="D26" s="122"/>
      <c r="E26" s="122"/>
      <c r="F26" s="122"/>
      <c r="G26" s="122"/>
      <c r="H26" s="122"/>
      <c r="I26" s="122"/>
    </row>
    <row r="27" spans="2:12" ht="17.100000000000001">
      <c r="C27" s="4" t="s">
        <v>29</v>
      </c>
      <c r="D27" s="4" t="s">
        <v>62</v>
      </c>
      <c r="E27" s="4" t="s">
        <v>63</v>
      </c>
      <c r="F27" s="4" t="s">
        <v>64</v>
      </c>
      <c r="G27" s="4" t="s">
        <v>65</v>
      </c>
      <c r="H27" s="4" t="s">
        <v>66</v>
      </c>
      <c r="I27" s="4" t="s">
        <v>67</v>
      </c>
    </row>
    <row r="28" spans="2:12">
      <c r="B28" s="32" t="str">
        <f>B16</f>
        <v>BC - Leader</v>
      </c>
      <c r="C28" s="102">
        <v>425</v>
      </c>
      <c r="D28" s="115">
        <v>368.75</v>
      </c>
      <c r="E28" s="115">
        <v>406.25</v>
      </c>
      <c r="F28" s="102">
        <f>C28*C$42</f>
        <v>565.25</v>
      </c>
      <c r="G28" s="115">
        <f>C28*C$43</f>
        <v>44229.75</v>
      </c>
      <c r="H28" s="102">
        <f>C28*C$44</f>
        <v>539.75</v>
      </c>
      <c r="I28" s="102">
        <f>C28*C$45</f>
        <v>548.25</v>
      </c>
    </row>
    <row r="29" spans="2:12">
      <c r="B29" s="32" t="str">
        <f t="shared" ref="B29:B34" si="8">B17</f>
        <v>BC - Principal</v>
      </c>
      <c r="C29" s="103">
        <v>360</v>
      </c>
      <c r="D29" s="116">
        <v>312.5</v>
      </c>
      <c r="E29" s="116">
        <v>343.75</v>
      </c>
      <c r="F29" s="102">
        <f t="shared" ref="F29:F34" si="9">C29*C$42</f>
        <v>478.8</v>
      </c>
      <c r="G29" s="115">
        <f t="shared" ref="G29:G34" si="10">C29*C$43</f>
        <v>37465.199999999997</v>
      </c>
      <c r="H29" s="102">
        <f t="shared" ref="H29:H34" si="11">C29*C$44</f>
        <v>457.2</v>
      </c>
      <c r="I29" s="102">
        <f t="shared" ref="I29:I34" si="12">C29*C$45</f>
        <v>464.40000000000003</v>
      </c>
    </row>
    <row r="30" spans="2:12">
      <c r="B30" s="32" t="str">
        <f t="shared" si="8"/>
        <v>BC - Senior Consultant</v>
      </c>
      <c r="C30" s="103">
        <v>315</v>
      </c>
      <c r="D30" s="116">
        <v>262.5</v>
      </c>
      <c r="E30" s="116">
        <v>287.5</v>
      </c>
      <c r="F30" s="102">
        <f t="shared" si="9"/>
        <v>418.95000000000005</v>
      </c>
      <c r="G30" s="115">
        <f t="shared" si="10"/>
        <v>32782.049999999996</v>
      </c>
      <c r="H30" s="102">
        <f t="shared" si="11"/>
        <v>400.05</v>
      </c>
      <c r="I30" s="102">
        <f t="shared" si="12"/>
        <v>406.35</v>
      </c>
    </row>
    <row r="31" spans="2:12">
      <c r="B31" s="32" t="str">
        <f t="shared" si="8"/>
        <v>BC - Consultant</v>
      </c>
      <c r="C31" s="103">
        <v>275</v>
      </c>
      <c r="D31" s="116">
        <v>225</v>
      </c>
      <c r="E31" s="116">
        <v>243.75</v>
      </c>
      <c r="F31" s="102">
        <f t="shared" si="9"/>
        <v>365.75</v>
      </c>
      <c r="G31" s="115">
        <f t="shared" si="10"/>
        <v>28619.249999999996</v>
      </c>
      <c r="H31" s="102">
        <f t="shared" si="11"/>
        <v>349.25</v>
      </c>
      <c r="I31" s="102">
        <f t="shared" si="12"/>
        <v>354.75</v>
      </c>
    </row>
    <row r="32" spans="2:12">
      <c r="B32" s="32" t="str">
        <f t="shared" si="8"/>
        <v>BC - Associate</v>
      </c>
      <c r="C32" s="104">
        <v>240</v>
      </c>
      <c r="D32" s="117">
        <v>156.25</v>
      </c>
      <c r="E32" s="117">
        <v>168.75</v>
      </c>
      <c r="F32" s="102">
        <f t="shared" si="9"/>
        <v>319.20000000000005</v>
      </c>
      <c r="G32" s="115">
        <f t="shared" si="10"/>
        <v>24976.799999999999</v>
      </c>
      <c r="H32" s="102">
        <f t="shared" si="11"/>
        <v>304.8</v>
      </c>
      <c r="I32" s="102">
        <f t="shared" si="12"/>
        <v>309.60000000000002</v>
      </c>
    </row>
    <row r="33" spans="2:9">
      <c r="B33" s="32" t="str">
        <f t="shared" si="8"/>
        <v>Services - Architect</v>
      </c>
      <c r="C33" s="102">
        <v>180</v>
      </c>
      <c r="D33" s="115">
        <v>193.875</v>
      </c>
      <c r="E33" s="115">
        <v>193.875</v>
      </c>
      <c r="F33" s="102">
        <f t="shared" si="9"/>
        <v>239.4</v>
      </c>
      <c r="G33" s="115">
        <f t="shared" si="10"/>
        <v>18732.599999999999</v>
      </c>
      <c r="H33" s="102">
        <f t="shared" si="11"/>
        <v>228.6</v>
      </c>
      <c r="I33" s="102">
        <f t="shared" si="12"/>
        <v>232.20000000000002</v>
      </c>
    </row>
    <row r="34" spans="2:9">
      <c r="B34" s="32" t="str">
        <f t="shared" si="8"/>
        <v>Services - Consultant</v>
      </c>
      <c r="C34" s="104">
        <v>175</v>
      </c>
      <c r="D34" s="117">
        <v>194</v>
      </c>
      <c r="E34" s="117">
        <v>194</v>
      </c>
      <c r="F34" s="102">
        <f t="shared" si="9"/>
        <v>232.75</v>
      </c>
      <c r="G34" s="115">
        <f t="shared" si="10"/>
        <v>18212.25</v>
      </c>
      <c r="H34" s="102">
        <f t="shared" si="11"/>
        <v>222.25</v>
      </c>
      <c r="I34" s="102">
        <f t="shared" si="12"/>
        <v>225.75</v>
      </c>
    </row>
    <row r="38" spans="2:9">
      <c r="B38" s="34" t="s">
        <v>69</v>
      </c>
      <c r="C38" s="34" t="s">
        <v>70</v>
      </c>
      <c r="D38" s="34" t="s">
        <v>71</v>
      </c>
      <c r="E38" s="34" t="s">
        <v>72</v>
      </c>
    </row>
    <row r="39" spans="2:9">
      <c r="B39" s="28" t="s">
        <v>73</v>
      </c>
      <c r="C39" s="15">
        <v>1</v>
      </c>
      <c r="D39" s="16">
        <v>1</v>
      </c>
      <c r="E39" s="17">
        <v>2</v>
      </c>
    </row>
    <row r="40" spans="2:9">
      <c r="B40" s="28" t="s">
        <v>8</v>
      </c>
      <c r="C40" s="15">
        <v>0.75</v>
      </c>
      <c r="D40" s="16">
        <v>1.33</v>
      </c>
      <c r="E40" s="17">
        <v>3</v>
      </c>
    </row>
    <row r="41" spans="2:9">
      <c r="B41" s="28" t="s">
        <v>25</v>
      </c>
      <c r="C41" s="3">
        <v>0.82</v>
      </c>
      <c r="D41" s="16">
        <v>1.21</v>
      </c>
      <c r="E41" s="17">
        <v>4</v>
      </c>
    </row>
    <row r="42" spans="2:9">
      <c r="B42" s="28" t="s">
        <v>74</v>
      </c>
      <c r="C42" s="3">
        <v>1.33</v>
      </c>
      <c r="D42" s="16">
        <v>0.75</v>
      </c>
      <c r="E42" s="17">
        <v>5</v>
      </c>
    </row>
    <row r="43" spans="2:9">
      <c r="B43" s="28" t="s">
        <v>75</v>
      </c>
      <c r="C43" s="3">
        <v>104.07</v>
      </c>
      <c r="D43" s="16">
        <v>9.5999999999999992E-3</v>
      </c>
      <c r="E43" s="17">
        <v>6</v>
      </c>
    </row>
    <row r="44" spans="2:9">
      <c r="B44" s="28" t="s">
        <v>76</v>
      </c>
      <c r="C44" s="3">
        <v>1.27</v>
      </c>
      <c r="D44" s="16">
        <v>0.78</v>
      </c>
      <c r="E44" s="17">
        <v>7</v>
      </c>
    </row>
    <row r="45" spans="2:9">
      <c r="B45" s="28" t="s">
        <v>77</v>
      </c>
      <c r="C45" s="3">
        <v>1.29</v>
      </c>
      <c r="D45" s="16">
        <v>0.77</v>
      </c>
      <c r="E45" s="17">
        <v>8</v>
      </c>
    </row>
    <row r="46" spans="2:9">
      <c r="C46" s="36"/>
      <c r="D46" s="35"/>
    </row>
    <row r="47" spans="2:9">
      <c r="B47" s="28" t="s">
        <v>78</v>
      </c>
      <c r="C47" s="28">
        <f>VLOOKUP('OUTPUT - Pricing model'!C8,$B$39:$E$45,4,0)</f>
        <v>3</v>
      </c>
      <c r="E47" s="37"/>
    </row>
    <row r="48" spans="2:9">
      <c r="E48" s="37"/>
    </row>
  </sheetData>
  <mergeCells count="2">
    <mergeCell ref="C13:I13"/>
    <mergeCell ref="C25:I2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925AF-79BA-4B65-B0DC-9745A5199848}">
  <sheetPr codeName="Sheet4"/>
  <dimension ref="B6:I14"/>
  <sheetViews>
    <sheetView workbookViewId="0">
      <selection activeCell="H13" sqref="H13"/>
    </sheetView>
  </sheetViews>
  <sheetFormatPr defaultColWidth="9" defaultRowHeight="15.95"/>
  <cols>
    <col min="1" max="1" width="9" style="47"/>
    <col min="2" max="2" width="18.125" style="47" bestFit="1" customWidth="1"/>
    <col min="3" max="4" width="8.625" style="47" bestFit="1" customWidth="1"/>
    <col min="5" max="5" width="8.125" style="47" bestFit="1" customWidth="1"/>
    <col min="6" max="6" width="8.625" style="47" bestFit="1" customWidth="1"/>
    <col min="7" max="7" width="10.125" style="47" bestFit="1" customWidth="1"/>
    <col min="8" max="8" width="7.625" style="47" bestFit="1" customWidth="1"/>
    <col min="9" max="9" width="8.625" style="47" bestFit="1" customWidth="1"/>
    <col min="10" max="16384" width="9" style="47"/>
  </cols>
  <sheetData>
    <row r="6" spans="2:9" ht="17.100000000000001">
      <c r="B6" s="45" t="s">
        <v>79</v>
      </c>
      <c r="C6" s="46" t="s">
        <v>29</v>
      </c>
      <c r="D6" s="46" t="s">
        <v>62</v>
      </c>
      <c r="E6" s="46" t="s">
        <v>63</v>
      </c>
      <c r="F6" s="46" t="s">
        <v>64</v>
      </c>
      <c r="G6" s="46" t="s">
        <v>65</v>
      </c>
      <c r="H6" s="46" t="s">
        <v>66</v>
      </c>
      <c r="I6" s="46" t="s">
        <v>67</v>
      </c>
    </row>
    <row r="7" spans="2:9" ht="17.100000000000001">
      <c r="C7" s="46" t="s">
        <v>73</v>
      </c>
      <c r="D7" s="46" t="s">
        <v>8</v>
      </c>
      <c r="E7" s="46" t="s">
        <v>25</v>
      </c>
      <c r="F7" s="46" t="s">
        <v>74</v>
      </c>
      <c r="G7" s="46" t="s">
        <v>75</v>
      </c>
      <c r="H7" s="46" t="s">
        <v>76</v>
      </c>
      <c r="I7" s="46" t="s">
        <v>77</v>
      </c>
    </row>
    <row r="8" spans="2:9">
      <c r="B8" s="48" t="str">
        <f>Rates!B16</f>
        <v>BC - Leader</v>
      </c>
      <c r="C8" s="49">
        <v>186.35</v>
      </c>
      <c r="D8" s="50">
        <v>168.08</v>
      </c>
      <c r="E8" s="51"/>
      <c r="F8" s="49">
        <v>127.88</v>
      </c>
      <c r="G8" s="52"/>
      <c r="H8" s="49"/>
      <c r="I8" s="49"/>
    </row>
    <row r="9" spans="2:9">
      <c r="B9" s="48" t="str">
        <f>Rates!B17</f>
        <v>BC - Principal</v>
      </c>
      <c r="C9" s="53">
        <v>119.67</v>
      </c>
      <c r="D9" s="54">
        <v>80.38</v>
      </c>
      <c r="E9" s="55">
        <v>97.92</v>
      </c>
      <c r="F9" s="53">
        <v>80.38</v>
      </c>
      <c r="G9" s="56"/>
      <c r="H9" s="53"/>
      <c r="I9" s="53">
        <v>157.12</v>
      </c>
    </row>
    <row r="10" spans="2:9">
      <c r="B10" s="48" t="str">
        <f>Rates!B18</f>
        <v>BC - Senior Consultant</v>
      </c>
      <c r="C10" s="53">
        <v>88.09</v>
      </c>
      <c r="D10" s="54">
        <v>65.77</v>
      </c>
      <c r="E10" s="55">
        <v>58.46</v>
      </c>
      <c r="F10" s="53"/>
      <c r="G10" s="56"/>
      <c r="H10" s="53"/>
      <c r="I10" s="53">
        <v>58.46</v>
      </c>
    </row>
    <row r="11" spans="2:9">
      <c r="B11" s="48" t="str">
        <f>Rates!B19</f>
        <v>BC - Consultant</v>
      </c>
      <c r="C11" s="53">
        <v>53.64</v>
      </c>
      <c r="D11" s="54">
        <v>48.41</v>
      </c>
      <c r="E11" s="55">
        <v>27.77</v>
      </c>
      <c r="F11" s="53"/>
      <c r="G11" s="56"/>
      <c r="H11" s="53">
        <v>76.73</v>
      </c>
      <c r="I11" s="53">
        <v>50.42</v>
      </c>
    </row>
    <row r="12" spans="2:9">
      <c r="B12" s="48" t="str">
        <f>Rates!B20</f>
        <v>BC - Associate</v>
      </c>
      <c r="C12" s="57">
        <v>43.64</v>
      </c>
      <c r="D12" s="58"/>
      <c r="E12" s="59">
        <v>23.51</v>
      </c>
      <c r="F12" s="57"/>
      <c r="G12" s="60"/>
      <c r="H12" s="57"/>
      <c r="I12" s="57"/>
    </row>
    <row r="13" spans="2:9">
      <c r="B13" s="48" t="str">
        <f>Rates!B21</f>
        <v>Services - Architect</v>
      </c>
      <c r="C13" s="49">
        <v>76.730769230769226</v>
      </c>
      <c r="D13" s="50"/>
      <c r="E13" s="51">
        <v>54.81</v>
      </c>
      <c r="F13" s="49"/>
      <c r="G13" s="52">
        <v>5846.15</v>
      </c>
      <c r="H13" s="49"/>
      <c r="I13" s="49"/>
    </row>
    <row r="14" spans="2:9">
      <c r="B14" s="48" t="str">
        <f>Rates!B22</f>
        <v>Services - Consultant</v>
      </c>
      <c r="C14" s="57">
        <v>51.6</v>
      </c>
      <c r="D14" s="58">
        <v>29.23</v>
      </c>
      <c r="E14" s="59">
        <v>29.74</v>
      </c>
      <c r="F14" s="57">
        <v>30.69</v>
      </c>
      <c r="G14" s="60">
        <v>4043.58974358974</v>
      </c>
      <c r="H14" s="57">
        <v>51.15</v>
      </c>
      <c r="I14" s="57">
        <v>47.5</v>
      </c>
    </row>
  </sheetData>
  <sheetProtection algorithmName="SHA-512" hashValue="zV04mF84T/HYFuuvkBdkzIw6z9uX1b2W23ybeo4D7B/9vzUIdS+l8sxp6vyaJwzv1r67R9H2wsmkOx3Ui9gyCg==" saltValue="WcKPuMLwAb+taCZE1QE02Q==" spinCount="100000" sheet="1" objects="1" scenarios="1" selectLockedCells="1" selectUn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ABB14-0490-4BD7-9BC8-B052A453B441}">
  <sheetPr codeName="Sheet5"/>
  <dimension ref="A1:D8"/>
  <sheetViews>
    <sheetView workbookViewId="0">
      <selection activeCell="E1" sqref="E1:H10"/>
    </sheetView>
  </sheetViews>
  <sheetFormatPr defaultColWidth="9" defaultRowHeight="15.95"/>
  <cols>
    <col min="1" max="1" width="10.625" style="28" bestFit="1" customWidth="1"/>
    <col min="2" max="4" width="9" style="28"/>
    <col min="5" max="5" width="22.375" style="28" bestFit="1" customWidth="1"/>
    <col min="6" max="6" width="10.125" style="28" customWidth="1"/>
    <col min="7" max="7" width="12.375" style="28" customWidth="1"/>
    <col min="8" max="8" width="10.125" style="28" bestFit="1" customWidth="1"/>
    <col min="9" max="16384" width="9" style="28"/>
  </cols>
  <sheetData>
    <row r="1" spans="1:4">
      <c r="A1" s="35" t="s">
        <v>80</v>
      </c>
      <c r="C1" s="28" t="s">
        <v>81</v>
      </c>
    </row>
    <row r="2" spans="1:4">
      <c r="A2" s="98" t="s">
        <v>82</v>
      </c>
      <c r="C2" s="28" t="s">
        <v>25</v>
      </c>
      <c r="D2" s="28" t="s">
        <v>83</v>
      </c>
    </row>
    <row r="3" spans="1:4">
      <c r="A3" s="98" t="s">
        <v>84</v>
      </c>
      <c r="C3" s="28" t="s">
        <v>8</v>
      </c>
      <c r="D3" s="28" t="s">
        <v>62</v>
      </c>
    </row>
    <row r="4" spans="1:4">
      <c r="A4" s="98" t="s">
        <v>85</v>
      </c>
      <c r="C4" s="28" t="s">
        <v>73</v>
      </c>
      <c r="D4" s="28" t="s">
        <v>29</v>
      </c>
    </row>
    <row r="5" spans="1:4">
      <c r="A5" s="98" t="s">
        <v>86</v>
      </c>
      <c r="C5" s="28" t="s">
        <v>76</v>
      </c>
      <c r="D5" s="28" t="s">
        <v>66</v>
      </c>
    </row>
    <row r="6" spans="1:4">
      <c r="C6" s="28" t="s">
        <v>74</v>
      </c>
      <c r="D6" s="28" t="s">
        <v>64</v>
      </c>
    </row>
    <row r="7" spans="1:4">
      <c r="C7" s="28" t="s">
        <v>77</v>
      </c>
      <c r="D7" s="28" t="s">
        <v>67</v>
      </c>
    </row>
    <row r="8" spans="1:4">
      <c r="C8" s="28" t="s">
        <v>75</v>
      </c>
      <c r="D8" s="28" t="s">
        <v>65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9D17E572A9014CA98EF55A5E8319AA" ma:contentTypeVersion="11" ma:contentTypeDescription="Create a new document." ma:contentTypeScope="" ma:versionID="d6b5e727e98f570f0574fc3565af7e9e">
  <xsd:schema xmlns:xsd="http://www.w3.org/2001/XMLSchema" xmlns:xs="http://www.w3.org/2001/XMLSchema" xmlns:p="http://schemas.microsoft.com/office/2006/metadata/properties" xmlns:ns2="0d8c423f-ad67-45a2-8b05-97a43a5b7821" xmlns:ns3="ead0e857-dec6-4b1e-afd3-48dbfac7dd48" targetNamespace="http://schemas.microsoft.com/office/2006/metadata/properties" ma:root="true" ma:fieldsID="6f3db167e660a116f7b51cc0c02ca9e8" ns2:_="" ns3:_="">
    <xsd:import namespace="0d8c423f-ad67-45a2-8b05-97a43a5b7821"/>
    <xsd:import namespace="ead0e857-dec6-4b1e-afd3-48dbfac7dd4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8c423f-ad67-45a2-8b05-97a43a5b78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d0e857-dec6-4b1e-afd3-48dbfac7dd48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DFFBA5D-366C-4754-A7DE-2BF905DD5074}"/>
</file>

<file path=customXml/itemProps2.xml><?xml version="1.0" encoding="utf-8"?>
<ds:datastoreItem xmlns:ds="http://schemas.openxmlformats.org/officeDocument/2006/customXml" ds:itemID="{CA64D57C-187F-4DF9-BEE0-96C93351594A}"/>
</file>

<file path=customXml/itemProps3.xml><?xml version="1.0" encoding="utf-8"?>
<ds:datastoreItem xmlns:ds="http://schemas.openxmlformats.org/officeDocument/2006/customXml" ds:itemID="{FD2C6255-B033-4BE3-9F6C-482DDAF81C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Aaron Bean</dc:creator>
  <cp:keywords/>
  <dc:description/>
  <cp:lastModifiedBy>Aaron Bean</cp:lastModifiedBy>
  <cp:revision/>
  <dcterms:created xsi:type="dcterms:W3CDTF">2020-05-20T09:41:51Z</dcterms:created>
  <dcterms:modified xsi:type="dcterms:W3CDTF">2021-05-12T10:29:02Z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0x010100009D17E572A9014CA98EF55A5E8319AA</vt:lpwstr>
  </property>
</Properties>
</file>